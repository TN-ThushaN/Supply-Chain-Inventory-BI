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8d1bf805074f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7c7fa1e310346c3"/>
    <x:sheet xmlns:r="http://schemas.openxmlformats.org/officeDocument/2006/relationships" name="Monthly Summary" sheetId="2" r:id="R3d6ed3298b114520"/>
    <x:sheet xmlns:r="http://schemas.openxmlformats.org/officeDocument/2006/relationships" name="Supplier Summary" sheetId="3" r:id="R6e21de0750454825"/>
    <x:sheet xmlns:r="http://schemas.openxmlformats.org/officeDocument/2006/relationships" name="Definitions" sheetId="4" r:id="Rc96af0735c4543c1"/>
    <x:sheet xmlns:r="http://schemas.openxmlformats.org/officeDocument/2006/relationships" name="Raw Data Preview" sheetId="5" r:id="Rb41fde88048546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.00"/>
    <x:numFmt numFmtId="201" formatCode="0.0%"/>
    <x:numFmt numFmtId="202" formatCode="&quot;LKR &quot;#,##0"/>
    <x:numFmt numFmtId="203" formatCode="#,##0"/>
  </x:numFmts>
  <x:fonts count="10">
    <x:font>
      <x:sz val="11"/>
      <x:name val="Carlito"/>
    </x:font>
    <x:font>
      <x:sz val="11"/>
      <x:color rgb="FFFFFFFF"/>
      <x:name val="Carlito"/>
    </x:font>
    <x:font>
      <x:b/>
      <x:sz val="21"/>
      <x:color rgb="FFFFFFFF"/>
      <x:name val="Carlito"/>
    </x:font>
    <x:font>
      <x:sz val="10"/>
      <x:color rgb="FFB4C6D5"/>
      <x:name val="Carlito"/>
    </x:font>
    <x:font>
      <x:sz val="11"/>
      <x:color rgb="FFB4C6D5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sz val="11"/>
      <x:color rgb="FF0B1220"/>
      <x:name val="Carlito"/>
    </x:font>
    <x:font>
      <x:b/>
      <x:sz val="11"/>
      <x:color rgb="FFB4C6D5"/>
      <x:name val="Carlito"/>
    </x:font>
    <x:font>
      <x:b/>
      <x:sz val="22"/>
      <x:color rgb="FF1CC7B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220"/>
      </x:patternFill>
    </x:fill>
    <x:fill>
      <x:patternFill patternType="solid">
        <x:fgColor rgb="FF15243B"/>
      </x:patternFill>
    </x:fill>
    <x:fill>
      <x:patternFill patternType="solid">
        <x:fgColor rgb="FFFFFFFF"/>
      </x:patternFill>
    </x:fill>
  </x:fills>
  <x:borders count="2">
    <x:border/>
    <x:border/>
  </x:borders>
  <x:cellStyleXfs count="1">
    <x:xf numFmtId="0" fontId="0" fillId="0" borderId="0"/>
  </x:cellStyleXfs>
  <x:cellXfs count="4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0" fontId="0" fillId="3" borderId="1" xfId="0" applyNumberFormat="1" applyFont="1" applyFill="1" applyBorder="1"/>
    <x:xf numFmtId="0" fontId="6" fillId="3" borderId="1" xfId="0" applyNumberFormat="1" applyFont="1" applyFill="1" applyBorder="1"/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0" fillId="4" borderId="1" xfId="0" applyNumberFormat="1" applyFont="1" applyFill="1" applyBorder="1"/>
    <x:xf numFmtId="0" fontId="7" fillId="4" borderId="1" xfId="0" applyNumberFormat="1" applyFont="1" applyFill="1" applyBorder="1"/>
    <x:xf numFmtId="200" fontId="7" fillId="4" borderId="0" xfId="0" applyNumberFormat="1" applyFont="1" applyFill="1" applyBorder="1"/>
    <x:xf numFmtId="200" fontId="7" fillId="4" borderId="1" xfId="0" applyNumberFormat="1" applyFont="1" applyFill="1" applyBorder="1"/>
    <x:xf numFmtId="201" fontId="7" fillId="4" borderId="0" xfId="0" applyNumberFormat="1" applyFont="1" applyFill="1" applyBorder="1"/>
    <x:xf numFmtId="201" fontId="7" fillId="4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1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202" fontId="9" fillId="3" borderId="0" xfId="0" applyNumberFormat="1" applyFont="1" applyFill="1" applyBorder="1"/>
    <x:xf numFmtId="202" fontId="9" fillId="3" borderId="1" xfId="0" applyNumberFormat="1" applyFont="1" applyFill="1" applyBorder="1"/>
    <x:xf numFmtId="201" fontId="9" fillId="3" borderId="0" xfId="0" applyNumberFormat="1" applyFont="1" applyFill="1" applyBorder="1"/>
    <x:xf numFmtId="201" fontId="9" fillId="3" borderId="1" xfId="0" applyNumberFormat="1" applyFont="1" applyFill="1" applyBorder="1"/>
    <x:xf numFmtId="203" fontId="9" fillId="3" borderId="0" xfId="0" applyNumberFormat="1" applyFont="1" applyFill="1" applyBorder="1"/>
    <x:xf numFmtId="203" fontId="9" fillId="3" borderId="1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7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c50e26f9db409a" /><Relationship Type="http://schemas.openxmlformats.org/officeDocument/2006/relationships/theme" Target="/xl/theme/theme1.xml" Id="Ra5e13d169bbc45fd" /><Relationship Type="http://schemas.openxmlformats.org/officeDocument/2006/relationships/sharedStrings" Target="/xl/sharedStrings.xml" Id="Ref0b63b8a3bb4155" /><Relationship Type="http://schemas.openxmlformats.org/officeDocument/2006/relationships/worksheet" Target="/xl/worksheets/sheet1.xml" Id="R27c7fa1e310346c3" /><Relationship Type="http://schemas.openxmlformats.org/officeDocument/2006/relationships/worksheet" Target="/xl/worksheets/sheet2.xml" Id="R3d6ed3298b114520" /><Relationship Type="http://schemas.openxmlformats.org/officeDocument/2006/relationships/worksheet" Target="/xl/worksheets/sheet3.xml" Id="R6e21de0750454825" /><Relationship Type="http://schemas.openxmlformats.org/officeDocument/2006/relationships/worksheet" Target="/xl/worksheets/sheet4.xml" Id="Rc96af0735c4543c1" /><Relationship Type="http://schemas.openxmlformats.org/officeDocument/2006/relationships/worksheet" Target="/xl/worksheets/sheet5.xml" Id="Rb41fde880485460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2f4fbb5f18a4b27" /><Relationship Type="http://schemas.openxmlformats.org/officeDocument/2006/relationships/chart" Target="/xl/drawings/charts/chart2.xml" Id="R1d61f5831ccb4f40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Inventory Value</c:v>
          </c:tx>
          <c:marker>
            <c:symbol val="none"/>
          </c:marker>
          <c:cat>
            <c:strRef>
              <c:f>'Monthly Summary'!$A$2:$A$13</c:f>
              <c:strCache>
                <c:ptCount val="0"/>
              </c:strCache>
            </c:strRef>
          </c:cat>
          <c:val>
            <c:numRef>
              <c:f>'Monthly Summary'!$B$2:$B$13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On Time %</c:v>
          </c:tx>
          <c:cat>
            <c:strRef>
              <c:f>'Supplier Summary'!$A$2:$A$9</c:f>
              <c:strCache>
                <c:ptCount val="0"/>
              </c:strCache>
            </c:strRef>
          </c:cat>
          <c:val>
            <c:numRef>
              <c:f>'Supplier Summary'!$F$2:$F$9</c:f>
              <c:numCache>
                <c:formatCode>0%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7</xdr:col>
      <xdr:colOff>0</xdr:colOff>
      <xdr:row>32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2f4fbb5f18a4b27"/>
        </a:graphicData>
      </a:graphic>
    </xdr:graphicFrame>
    <xdr:clientData/>
  </xdr:twoCellAnchor>
  <xdr:twoCellAnchor>
    <xdr:from>
      <xdr:col>7</xdr:col>
      <xdr:colOff>0</xdr:colOff>
      <xdr:row>15</xdr:row>
      <xdr:rowOff>0</xdr:rowOff>
    </xdr:from>
    <xdr:to>
      <xdr:col>13</xdr:col>
      <xdr:colOff>0</xdr:colOff>
      <xdr:row>32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d61f5831ccb4f4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869055e59654cdb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</x:cols>
  <x:sheetData>
    <x:row r="1" ht="20" customHeight="1">
      <x:c r="A1" s="7" t="str">
        <x:v>SUPPLY CHAIN  /  INVENTORY OPERATIONS</x:v>
      </x:c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</x:row>
    <x:row r="2" ht="20" customHeight="1">
      <x:c r="A2" s="7"/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3" ht="20" customHeight="1">
      <x:c r="A3" s="7"/>
      <x:c r="B3" s="7"/>
      <x:c r="C3" s="7"/>
      <x:c r="D3" s="7"/>
      <x:c r="E3" s="7"/>
      <x:c r="F3" s="7"/>
      <x:c r="G3" s="7"/>
      <x:c r="H3" s="7"/>
      <x:c r="I3" s="7"/>
      <x:c r="J3" s="7"/>
      <x:c r="K3" s="7"/>
      <x:c r="L3" s="7"/>
      <x:c r="M3" s="7"/>
    </x:row>
    <x:row r="4" ht="20" customHeight="1">
      <x:c r="A4" s="10" t="str">
        <x:v>Supplier performance • SKU stock health • Procurement reliability  |  Jul 2025 — Jun 2026</x:v>
      </x:c>
      <x:c r="B4" s="10"/>
      <x:c r="C4" s="10"/>
      <x:c r="D4" s="10"/>
      <x:c r="E4" s="10"/>
      <x:c r="F4" s="10"/>
      <x:c r="G4" s="10"/>
      <x:c r="H4" s="10"/>
      <x:c r="I4" s="10"/>
      <x:c r="J4" s="10"/>
      <x:c r="K4" s="10"/>
      <x:c r="L4" s="10"/>
      <x:c r="M4" s="10"/>
    </x:row>
    <x:row r="5" ht="20" customHeight="1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 ht="20" customHeight="1">
      <x:c r="A6" s="30" t="str">
        <x:v>LAST INVENTORY VALUE</x:v>
      </x:c>
      <x:c r="B6" s="30"/>
      <x:c r="C6" s="30"/>
      <x:c r="D6" s="30" t="str">
        <x:v>DEMAND FILL RATE</x:v>
      </x:c>
      <x:c r="E6" s="30"/>
      <x:c r="F6" s="30"/>
      <x:c r="G6" s="30" t="str">
        <x:v>STOCKOUT SKU-WEEKS</x:v>
      </x:c>
      <x:c r="H6" s="30"/>
      <x:c r="I6" s="30"/>
      <x:c r="J6" s="30" t="str">
        <x:v>SKUs BELOW REORDER</x:v>
      </x:c>
      <x:c r="K6" s="30"/>
      <x:c r="L6" s="30"/>
      <x:c r="M6" s="3"/>
    </x:row>
    <x:row r="7" ht="20" customHeight="1">
      <x:c r="A7" s="34" t="n">
        <x:f>'Monthly Summary'!B13</x:f>
        <x:v>5004246.74</x:v>
      </x:c>
      <x:c r="B7" s="32"/>
      <x:c r="C7" s="32"/>
      <x:c r="D7" s="36" t="n">
        <x:f>IFERROR(SUM('Monthly Summary'!E2:E13)/SUM('Monthly Summary'!F2:F13),0)</x:f>
        <x:v>0.7212613676951397</x:v>
      </x:c>
      <x:c r="E7" s="32"/>
      <x:c r="F7" s="32"/>
      <x:c r="G7" s="38" t="n">
        <x:f>SUM('Monthly Summary'!D2:D13)</x:f>
        <x:v>804</x:v>
      </x:c>
      <x:c r="H7" s="32"/>
      <x:c r="I7" s="32"/>
      <x:c r="J7" s="38" t="n">
        <x:f>'Monthly Summary'!C13</x:f>
        <x:v>32</x:v>
      </x:c>
      <x:c r="K7" s="32"/>
      <x:c r="L7" s="32"/>
      <x:c r="M7" s="3"/>
    </x:row>
    <x:row r="8" ht="20" customHeight="1">
      <x:c r="A8" s="32"/>
      <x:c r="B8" s="32"/>
      <x:c r="C8" s="32"/>
      <x:c r="D8" s="32"/>
      <x:c r="E8" s="32"/>
      <x:c r="F8" s="32"/>
      <x:c r="G8" s="32"/>
      <x:c r="H8" s="32"/>
      <x:c r="I8" s="32"/>
      <x:c r="J8" s="32"/>
      <x:c r="K8" s="32"/>
      <x:c r="L8" s="32"/>
      <x:c r="M8" s="3"/>
    </x:row>
    <x:row r="9" ht="20" customHeight="1">
      <x:c r="A9" s="32"/>
      <x:c r="B9" s="32"/>
      <x:c r="C9" s="32"/>
      <x:c r="D9" s="32"/>
      <x:c r="E9" s="32"/>
      <x:c r="F9" s="32"/>
      <x:c r="G9" s="32"/>
      <x:c r="H9" s="32"/>
      <x:c r="I9" s="32"/>
      <x:c r="J9" s="32"/>
      <x:c r="K9" s="32"/>
      <x:c r="L9" s="32"/>
      <x:c r="M9" s="3"/>
    </x:row>
    <x:row r="10" ht="20" customHeight="1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  <x:c r="K10" s="32"/>
      <x:c r="L10" s="32"/>
      <x:c r="M10" s="3"/>
    </x:row>
    <x:row r="11" ht="20" customHeight="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  <x:row r="12" ht="20" customHeight="1">
      <x:c r="A12" s="12" t="str">
        <x:v>Inventory value is a point-in-time snapshot. KPI uses final month only; never add stock balances from different months together.</x:v>
      </x:c>
      <x:c r="B12" s="12"/>
      <x:c r="C12" s="12"/>
      <x:c r="D12" s="12"/>
      <x:c r="E12" s="12"/>
      <x:c r="F12" s="12"/>
      <x:c r="G12" s="12"/>
      <x:c r="H12" s="12"/>
      <x:c r="I12" s="12"/>
      <x:c r="J12" s="12"/>
      <x:c r="K12" s="12"/>
      <x:c r="L12" s="12"/>
      <x:c r="M12" s="12"/>
    </x:row>
    <x:row r="13" ht="20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  <x:c r="K13" s="12"/>
      <x:c r="L13" s="12"/>
      <x:c r="M13" s="12"/>
    </x:row>
    <x:row r="14" ht="20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</x:row>
    <x:row r="15" ht="20" customHeight="1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</x:row>
    <x:row r="16" ht="20" customHeight="1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</x:row>
    <x:row r="17" ht="20" customHeight="1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</x:row>
    <x:row r="18" ht="20" customHeight="1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</x:row>
    <x:row r="19" ht="20" customHeight="1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</x:row>
    <x:row r="20" ht="20" customHeight="1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</x:row>
    <x:row r="21" ht="20" customHeight="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</x:row>
    <x:row r="22" ht="20" customHeight="1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</x:row>
    <x:row r="23" ht="20" customHeight="1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</x:row>
    <x:row r="24" ht="20" customHeight="1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</x:row>
    <x:row r="25" ht="20" customHeight="1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</x:row>
    <x:row r="26" ht="20" customHeight="1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</x:row>
    <x:row r="27" ht="20" customHeight="1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</x:row>
    <x:row r="28" ht="20" customHeight="1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</x:row>
    <x:row r="29" ht="20" customHeight="1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</x:row>
    <x:row r="30" ht="20" customHeight="1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</x:row>
    <x:row r="31" ht="20" customHeight="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</x:row>
    <x:row r="32" ht="20" customHeight="1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</x:row>
    <x:row r="33" ht="20" customHeight="1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</x:row>
    <x:row r="34" ht="20" customHeight="1">
      <x:c r="A34" s="14" t="str">
        <x:v>BUSINESS INTERPRETATION &amp; NEXT STEPS</x:v>
      </x:c>
      <x:c r="B34" s="14"/>
      <x:c r="C34" s="14"/>
      <x:c r="D34" s="14"/>
      <x:c r="E34" s="14"/>
      <x:c r="F34" s="14"/>
      <x:c r="G34" s="14"/>
      <x:c r="H34" s="14"/>
      <x:c r="I34" s="14"/>
      <x:c r="J34" s="14"/>
      <x:c r="K34" s="14"/>
      <x:c r="L34" s="14"/>
      <x:c r="M34" s="14"/>
    </x:row>
    <x:row r="35" ht="20" customHeight="1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</x:row>
    <x:row r="36" ht="20" customHeight="1">
      <x:c r="A36" s="3" t="str">
        <x:v>• On-time performance requires delivered POs only; watch suppliers such as East Shore Supply.</x:v>
      </x:c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</x:row>
    <x:row r="37" ht="20" customHeight="1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</x:row>
    <x:row r="38" ht="20" customHeight="1">
      <x:c r="A38" s="3" t="str">
        <x:v>• Investigate SKUs that repeatedly fall below reorder levels before peak-demand weeks.</x:v>
      </x:c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</x:row>
    <x:row r="39" ht="20" customHeight="1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</x:row>
    <x:row r="40" ht="20" customHeight="1">
      <x:c r="A40" s="3" t="str">
        <x:v>• Action: connect procurement lead times with buffer-stock policies and supplier SLAs.</x:v>
      </x:c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</x:row>
    <x:row r="41" ht="20" customHeight="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</x:row>
    <x:row r="42" ht="20" customHeight="1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</x:row>
    <x:row r="43" ht="20" customHeight="1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</x:row>
    <x:row r="44" ht="20" customHeight="1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</x:row>
    <x:row r="45" ht="20" customHeight="1">
      <x:c r="A45" s="16" t="str">
        <x:v>SOURCE: 100% SYNTHETIC DEMO DATA  •  KPIs use supplied summary tables  •  Full raw CSV and Power BI build guide included</x:v>
      </x:c>
      <x:c r="B45" s="16"/>
      <x:c r="C45" s="16"/>
      <x:c r="D45" s="16"/>
      <x:c r="E45" s="16"/>
      <x:c r="F45" s="16"/>
      <x:c r="G45" s="16"/>
      <x:c r="H45" s="16"/>
      <x:c r="I45" s="16"/>
      <x:c r="J45" s="16"/>
      <x:c r="K45" s="16"/>
      <x:c r="L45" s="16"/>
      <x:c r="M45" s="16"/>
    </x:row>
    <x:row r="46" ht="20" customHeight="1">
      <x:c r="A46" s="16"/>
      <x:c r="B46" s="16"/>
      <x:c r="C46" s="16"/>
      <x:c r="D46" s="16"/>
      <x:c r="E46" s="16"/>
      <x:c r="F46" s="16"/>
      <x:c r="G46" s="16"/>
      <x:c r="H46" s="16"/>
      <x:c r="I46" s="16"/>
      <x:c r="J46" s="16"/>
      <x:c r="K46" s="16"/>
      <x:c r="L46" s="16"/>
      <x:c r="M46" s="16"/>
    </x:row>
    <x:row r="47" ht="20" customHeight="1">
      <x:c r="A47" s="16"/>
      <x:c r="B47" s="16"/>
      <x:c r="C47" s="16"/>
      <x:c r="D47" s="16"/>
      <x:c r="E47" s="16"/>
      <x:c r="F47" s="16"/>
      <x:c r="G47" s="16"/>
      <x:c r="H47" s="16"/>
      <x:c r="I47" s="16"/>
      <x:c r="J47" s="16"/>
      <x:c r="K47" s="16"/>
      <x:c r="L47" s="16"/>
      <x:c r="M47" s="16"/>
    </x:row>
    <x:row r="48" ht="20" customHeight="1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</x:row>
    <x:row r="49" ht="20" customHeight="1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</x:row>
  </x:sheetData>
  <x:mergeCells>
    <x:mergeCell ref="A1:M3"/>
    <x:mergeCell ref="A4:M4"/>
    <x:mergeCell ref="A12:M14"/>
    <x:mergeCell ref="A34:M34"/>
    <x:mergeCell ref="A45:M47"/>
    <x:mergeCell ref="A6:C6"/>
    <x:mergeCell ref="A7:C10"/>
    <x:mergeCell ref="D6:F6"/>
    <x:mergeCell ref="D7:F10"/>
    <x:mergeCell ref="G6:I6"/>
    <x:mergeCell ref="G7:I10"/>
    <x:mergeCell ref="J6:L6"/>
    <x:mergeCell ref="J7:L10"/>
    <x:mergeCell ref="A36:M37"/>
    <x:mergeCell ref="A38:M39"/>
    <x:mergeCell ref="A40:M41"/>
  </x:mergeCells>
  <x:pageMargins left="0.7" right="0.7" top="0.75" bottom="0.75" header="0.3" footer="0.3"/>
  <x:drawing xmlns:r="http://schemas.openxmlformats.org/officeDocument/2006/relationships" r:id="R2869055e59654cdb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0" customHeight="1">
      <x:c r="A1" s="19" t="str">
        <x:v>Month</x:v>
      </x:c>
      <x:c r="B1" s="19" t="str">
        <x:v>Ending Inventory Value</x:v>
      </x:c>
      <x:c r="C1" s="19" t="str">
        <x:v>Below Reorder SKUs</x:v>
      </x:c>
      <x:c r="D1" s="19" t="str">
        <x:v>Stockout SKU-Weeks</x:v>
      </x:c>
      <x:c r="E1" s="19" t="str">
        <x:v>Demand Fulfilled</x:v>
      </x:c>
      <x:c r="F1" s="19" t="str">
        <x:v>Demand Requested</x:v>
      </x:c>
      <x:c r="G1" s="19" t="str">
        <x:v>Demand Fill %</x:v>
      </x:c>
    </x:row>
    <x:row r="2" ht="22" customHeight="1">
      <x:c r="A2" s="23" t="str">
        <x:v>2025-07</x:v>
      </x:c>
      <x:c r="B2" s="26" t="n">
        <x:v>10584424.27</x:v>
      </x:c>
      <x:c r="C2" s="23" t="n">
        <x:v>22</x:v>
      </x:c>
      <x:c r="D2" s="23" t="n">
        <x:v>26</x:v>
      </x:c>
      <x:c r="E2" s="23" t="n">
        <x:v>10039</x:v>
      </x:c>
      <x:c r="F2" s="23" t="n">
        <x:v>11314</x:v>
      </x:c>
      <x:c r="G2" s="28" t="n">
        <x:f>IFERROR(E2/F2,0)</x:f>
        <x:v>0.8873077602969772</x:v>
      </x:c>
    </x:row>
    <x:row r="3" ht="22" customHeight="1">
      <x:c r="A3" s="23" t="str">
        <x:v>2025-08</x:v>
      </x:c>
      <x:c r="B3" s="26" t="n">
        <x:v>9630163.16</x:v>
      </x:c>
      <x:c r="C3" s="23" t="n">
        <x:v>28</x:v>
      </x:c>
      <x:c r="D3" s="23" t="n">
        <x:v>53</x:v>
      </x:c>
      <x:c r="E3" s="23" t="n">
        <x:v>8386</x:v>
      </x:c>
      <x:c r="F3" s="23" t="n">
        <x:v>10650</x:v>
      </x:c>
      <x:c r="G3" s="28" t="n">
        <x:f>IFERROR(E3/F3,0)</x:f>
        <x:v>0.7874178403755868</x:v>
      </x:c>
    </x:row>
    <x:row r="4" ht="22" customHeight="1">
      <x:c r="A4" s="23" t="str">
        <x:v>2025-09</x:v>
      </x:c>
      <x:c r="B4" s="26" t="n">
        <x:v>10976176.81</x:v>
      </x:c>
      <x:c r="C4" s="23" t="n">
        <x:v>20</x:v>
      </x:c>
      <x:c r="D4" s="23" t="n">
        <x:v>69</x:v>
      </x:c>
      <x:c r="E4" s="23" t="n">
        <x:v>11168</x:v>
      </x:c>
      <x:c r="F4" s="23" t="n">
        <x:v>14940</x:v>
      </x:c>
      <x:c r="G4" s="28" t="n">
        <x:f>IFERROR(E4/F4,0)</x:f>
        <x:v>0.7475234270414993</x:v>
      </x:c>
    </x:row>
    <x:row r="5" ht="22" customHeight="1">
      <x:c r="A5" s="23" t="str">
        <x:v>2025-10</x:v>
      </x:c>
      <x:c r="B5" s="26" t="n">
        <x:v>7430023.65</x:v>
      </x:c>
      <x:c r="C5" s="23" t="n">
        <x:v>29</x:v>
      </x:c>
      <x:c r="D5" s="23" t="n">
        <x:v>56</x:v>
      </x:c>
      <x:c r="E5" s="23" t="n">
        <x:v>8635</x:v>
      </x:c>
      <x:c r="F5" s="23" t="n">
        <x:v>11432</x:v>
      </x:c>
      <x:c r="G5" s="28" t="n">
        <x:f>IFERROR(E5/F5,0)</x:f>
        <x:v>0.7553358992302309</x:v>
      </x:c>
    </x:row>
    <x:row r="6" ht="22" customHeight="1">
      <x:c r="A6" s="23" t="str">
        <x:v>2025-11</x:v>
      </x:c>
      <x:c r="B6" s="26" t="n">
        <x:v>7053724.62</x:v>
      </x:c>
      <x:c r="C6" s="23" t="n">
        <x:v>27</x:v>
      </x:c>
      <x:c r="D6" s="23" t="n">
        <x:v>77</x:v>
      </x:c>
      <x:c r="E6" s="23" t="n">
        <x:v>7341</x:v>
      </x:c>
      <x:c r="F6" s="23" t="n">
        <x:v>11037</x:v>
      </x:c>
      <x:c r="G6" s="28" t="n">
        <x:f>IFERROR(E6/F6,0)</x:f>
        <x:v>0.6651263930415874</x:v>
      </x:c>
    </x:row>
    <x:row r="7" ht="22" customHeight="1">
      <x:c r="A7" s="23" t="str">
        <x:v>2025-12</x:v>
      </x:c>
      <x:c r="B7" s="26" t="n">
        <x:v>8605477.7</x:v>
      </x:c>
      <x:c r="C7" s="23" t="n">
        <x:v>29</x:v>
      </x:c>
      <x:c r="D7" s="23" t="n">
        <x:v>83</x:v>
      </x:c>
      <x:c r="E7" s="23" t="n">
        <x:v>8787</x:v>
      </x:c>
      <x:c r="F7" s="23" t="n">
        <x:v>12861</x:v>
      </x:c>
      <x:c r="G7" s="28" t="n">
        <x:f>IFERROR(E7/F7,0)</x:f>
        <x:v>0.6832283648238862</x:v>
      </x:c>
    </x:row>
    <x:row r="8" ht="22" customHeight="1">
      <x:c r="A8" s="23" t="str">
        <x:v>2026-01</x:v>
      </x:c>
      <x:c r="B8" s="26" t="n">
        <x:v>7841824.17</x:v>
      </x:c>
      <x:c r="C8" s="23" t="n">
        <x:v>30</x:v>
      </x:c>
      <x:c r="D8" s="23" t="n">
        <x:v>72</x:v>
      </x:c>
      <x:c r="E8" s="23" t="n">
        <x:v>7793</x:v>
      </x:c>
      <x:c r="F8" s="23" t="n">
        <x:v>11296</x:v>
      </x:c>
      <x:c r="G8" s="28" t="n">
        <x:f>IFERROR(E8/F8,0)</x:f>
        <x:v>0.6898902266288952</x:v>
      </x:c>
    </x:row>
    <x:row r="9" ht="22" customHeight="1">
      <x:c r="A9" s="23" t="str">
        <x:v>2026-02</x:v>
      </x:c>
      <x:c r="B9" s="26" t="n">
        <x:v>7119156.15</x:v>
      </x:c>
      <x:c r="C9" s="23" t="n">
        <x:v>24</x:v>
      </x:c>
      <x:c r="D9" s="23" t="n">
        <x:v>55</x:v>
      </x:c>
      <x:c r="E9" s="23" t="n">
        <x:v>8511</x:v>
      </x:c>
      <x:c r="F9" s="23" t="n">
        <x:v>11286</x:v>
      </x:c>
      <x:c r="G9" s="28" t="n">
        <x:f>IFERROR(E9/F9,0)</x:f>
        <x:v>0.754120148856991</x:v>
      </x:c>
    </x:row>
    <x:row r="10" ht="22" customHeight="1">
      <x:c r="A10" s="23" t="str">
        <x:v>2026-03</x:v>
      </x:c>
      <x:c r="B10" s="26" t="n">
        <x:v>8404662.55</x:v>
      </x:c>
      <x:c r="C10" s="23" t="n">
        <x:v>27</x:v>
      </x:c>
      <x:c r="D10" s="23" t="n">
        <x:v>77</x:v>
      </x:c>
      <x:c r="E10" s="23" t="n">
        <x:v>9661</x:v>
      </x:c>
      <x:c r="F10" s="23" t="n">
        <x:v>13780</x:v>
      </x:c>
      <x:c r="G10" s="28" t="n">
        <x:f>IFERROR(E10/F10,0)</x:f>
        <x:v>0.701088534107402</x:v>
      </x:c>
    </x:row>
    <x:row r="11" ht="22" customHeight="1">
      <x:c r="A11" s="23" t="str">
        <x:v>2026-04</x:v>
      </x:c>
      <x:c r="B11" s="26" t="n">
        <x:v>8302126.68</x:v>
      </x:c>
      <x:c r="C11" s="23" t="n">
        <x:v>26</x:v>
      </x:c>
      <x:c r="D11" s="23" t="n">
        <x:v>61</x:v>
      </x:c>
      <x:c r="E11" s="23" t="n">
        <x:v>7722</x:v>
      </x:c>
      <x:c r="F11" s="23" t="n">
        <x:v>11052</x:v>
      </x:c>
      <x:c r="G11" s="28" t="n">
        <x:f>IFERROR(E11/F11,0)</x:f>
        <x:v>0.6986970684039088</x:v>
      </x:c>
    </x:row>
    <x:row r="12" ht="22" customHeight="1">
      <x:c r="A12" s="23" t="str">
        <x:v>2026-05</x:v>
      </x:c>
      <x:c r="B12" s="26" t="n">
        <x:v>5714604.11</x:v>
      </x:c>
      <x:c r="C12" s="23" t="n">
        <x:v>27</x:v>
      </x:c>
      <x:c r="D12" s="23" t="n">
        <x:v>79</x:v>
      </x:c>
      <x:c r="E12" s="23" t="n">
        <x:v>7732</x:v>
      </x:c>
      <x:c r="F12" s="23" t="n">
        <x:v>11728</x:v>
      </x:c>
      <x:c r="G12" s="28" t="n">
        <x:f>IFERROR(E12/F12,0)</x:f>
        <x:v>0.6592769440654843</x:v>
      </x:c>
    </x:row>
    <x:row r="13" ht="22" customHeight="1">
      <x:c r="A13" s="23" t="str">
        <x:v>2026-06</x:v>
      </x:c>
      <x:c r="B13" s="26" t="n">
        <x:v>5004246.74</x:v>
      </x:c>
      <x:c r="C13" s="23" t="n">
        <x:v>32</x:v>
      </x:c>
      <x:c r="D13" s="23" t="n">
        <x:v>96</x:v>
      </x:c>
      <x:c r="E13" s="23" t="n">
        <x:v>9232</x:v>
      </x:c>
      <x:c r="F13" s="23" t="n">
        <x:v>14212</x:v>
      </x:c>
      <x:c r="G13" s="28" t="n">
        <x:f>IFERROR(E13/F13,0)</x:f>
        <x:v>0.6495918941739375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19" t="str">
        <x:v>Supplier</x:v>
      </x:c>
      <x:c r="B1" s="19" t="str">
        <x:v>Received POs</x:v>
      </x:c>
      <x:c r="C1" s="19" t="str">
        <x:v>On-time POs</x:v>
      </x:c>
      <x:c r="D1" s="19" t="str">
        <x:v>Unit Fill %</x:v>
      </x:c>
      <x:c r="E1" s="19" t="str">
        <x:v>Avg Lead Days</x:v>
      </x:c>
      <x:c r="F1" s="19" t="str">
        <x:v>On-Time %</x:v>
      </x:c>
    </x:row>
    <x:row r="2" ht="22" customHeight="1">
      <x:c r="A2" s="23" t="str">
        <x:v>Apex Distributors</x:v>
      </x:c>
      <x:c r="B2" s="23" t="n">
        <x:v>84</x:v>
      </x:c>
      <x:c r="C2" s="23" t="n">
        <x:v>48</x:v>
      </x:c>
      <x:c r="D2" s="23" t="n">
        <x:v>98.4</x:v>
      </x:c>
      <x:c r="E2" s="23" t="n">
        <x:v>8.6</x:v>
      </x:c>
      <x:c r="F2" s="28" t="n">
        <x:f>IFERROR(C2/B2,0)</x:f>
        <x:v>0.5714285714285714</x:v>
      </x:c>
    </x:row>
    <x:row r="3" ht="22" customHeight="1">
      <x:c r="A3" s="23" t="str">
        <x:v>BluePeak Imports</x:v>
      </x:c>
      <x:c r="B3" s="23" t="n">
        <x:v>247</x:v>
      </x:c>
      <x:c r="C3" s="23" t="n">
        <x:v>130</x:v>
      </x:c>
      <x:c r="D3" s="23" t="n">
        <x:v>97.9</x:v>
      </x:c>
      <x:c r="E3" s="23" t="n">
        <x:v>15.2</x:v>
      </x:c>
      <x:c r="F3" s="28" t="n">
        <x:f>IFERROR(C3/B3,0)</x:f>
        <x:v>0.5263157894736842</x:v>
      </x:c>
    </x:row>
    <x:row r="4" ht="22" customHeight="1">
      <x:c r="A4" s="23" t="str">
        <x:v>Lanka Source Co.</x:v>
      </x:c>
      <x:c r="B4" s="23" t="n">
        <x:v>64</x:v>
      </x:c>
      <x:c r="C4" s="23" t="n">
        <x:v>36</x:v>
      </x:c>
      <x:c r="D4" s="23" t="n">
        <x:v>98.6</x:v>
      </x:c>
      <x:c r="E4" s="23" t="n">
        <x:v>11.6</x:v>
      </x:c>
      <x:c r="F4" s="28" t="n">
        <x:f>IFERROR(C4/B4,0)</x:f>
        <x:v>0.5625</x:v>
      </x:c>
    </x:row>
    <x:row r="5" ht="22" customHeight="1">
      <x:c r="A5" s="23" t="str">
        <x:v>Southern Trade</x:v>
      </x:c>
      <x:c r="B5" s="23" t="n">
        <x:v>143</x:v>
      </x:c>
      <x:c r="C5" s="23" t="n">
        <x:v>83</x:v>
      </x:c>
      <x:c r="D5" s="23" t="n">
        <x:v>98.3</x:v>
      </x:c>
      <x:c r="E5" s="23" t="n">
        <x:v>10.5</x:v>
      </x:c>
      <x:c r="F5" s="28" t="n">
        <x:f>IFERROR(C5/B5,0)</x:f>
        <x:v>0.5804195804195804</x:v>
      </x:c>
    </x:row>
    <x:row r="6" ht="22" customHeight="1">
      <x:c r="A6" s="23" t="str">
        <x:v>North Gate Wholesale</x:v>
      </x:c>
      <x:c r="B6" s="23" t="n">
        <x:v>81</x:v>
      </x:c>
      <x:c r="C6" s="23" t="n">
        <x:v>47</x:v>
      </x:c>
      <x:c r="D6" s="23" t="n">
        <x:v>98.5</x:v>
      </x:c>
      <x:c r="E6" s="23" t="n">
        <x:v>16</x:v>
      </x:c>
      <x:c r="F6" s="28" t="n">
        <x:f>IFERROR(C6/B6,0)</x:f>
        <x:v>0.5802469135802469</x:v>
      </x:c>
    </x:row>
    <x:row r="7" ht="22" customHeight="1">
      <x:c r="A7" s="23" t="str">
        <x:v>East Shore Supply</x:v>
      </x:c>
      <x:c r="B7" s="23" t="n">
        <x:v>149</x:v>
      </x:c>
      <x:c r="C7" s="23" t="n">
        <x:v>76</x:v>
      </x:c>
      <x:c r="D7" s="23" t="n">
        <x:v>98.6</x:v>
      </x:c>
      <x:c r="E7" s="23" t="n">
        <x:v>14.1</x:v>
      </x:c>
      <x:c r="F7" s="28" t="n">
        <x:f>IFERROR(C7/B7,0)</x:f>
        <x:v>0.5100671140939598</x:v>
      </x:c>
    </x:row>
    <x:row r="8" ht="22" customHeight="1">
      <x:c r="A8" s="23" t="str">
        <x:v>PrimeLink Trading</x:v>
      </x:c>
      <x:c r="B8" s="23" t="n">
        <x:v>57</x:v>
      </x:c>
      <x:c r="C8" s="23" t="n">
        <x:v>34</x:v>
      </x:c>
      <x:c r="D8" s="23" t="n">
        <x:v>97.5</x:v>
      </x:c>
      <x:c r="E8" s="23" t="n">
        <x:v>7.8</x:v>
      </x:c>
      <x:c r="F8" s="28" t="n">
        <x:f>IFERROR(C8/B8,0)</x:f>
        <x:v>0.5964912280701754</x:v>
      </x:c>
    </x:row>
    <x:row r="9" ht="22" customHeight="1">
      <x:c r="A9" s="23" t="str">
        <x:v>Horizon Components</x:v>
      </x:c>
      <x:c r="B9" s="23" t="n">
        <x:v>39</x:v>
      </x:c>
      <x:c r="C9" s="23" t="n">
        <x:v>22</x:v>
      </x:c>
      <x:c r="D9" s="23" t="n">
        <x:v>99</x:v>
      </x:c>
      <x:c r="E9" s="23" t="n">
        <x:v>13.3</x:v>
      </x:c>
      <x:c r="F9" s="28" t="n">
        <x:f>IFERROR(C9/B9,0)</x:f>
        <x:v>0.5641025641025641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00" hidden="0" customWidth="1"/>
  </x:cols>
  <x:sheetData>
    <x:row r="1" ht="30" customHeight="1">
      <x:c r="A1" s="19" t="str">
        <x:v>KPI / Concept</x:v>
      </x:c>
      <x:c r="B1" s="19" t="str">
        <x:v>Business Definition</x:v>
      </x:c>
    </x:row>
    <x:row r="2" ht="34" customHeight="1">
      <x:c r="A2" s="23" t="str">
        <x:v>On-Time Delivery %</x:v>
      </x:c>
      <x:c r="B2" s="40" t="str">
        <x:v>Received purchase orders with received_date on/before expected_date / all received POs.</x:v>
      </x:c>
    </x:row>
    <x:row r="3" ht="34" customHeight="1">
      <x:c r="A3" s="23" t="str">
        <x:v>Supplier Unit Fill %</x:v>
      </x:c>
      <x:c r="B3" s="40" t="str">
        <x:v>Units received / units ordered for received purchase orders.</x:v>
      </x:c>
    </x:row>
    <x:row r="4" ht="34" customHeight="1">
      <x:c r="A4" s="23" t="str">
        <x:v>Demand Fill %</x:v>
      </x:c>
      <x:c r="B4" s="40" t="str">
        <x:v>Weekly demand units fulfilled / weekly demand units requested.</x:v>
      </x:c>
    </x:row>
    <x:row r="5" ht="34" customHeight="1">
      <x:c r="A5" s="23" t="str">
        <x:v>Inventory Value</x:v>
      </x:c>
      <x:c r="B5" s="40" t="str">
        <x:v>Ending stock on hand multiplied by SKU unit cost, summed across SKUs at one snapshot date.</x:v>
      </x:c>
    </x:row>
    <x:row r="6" ht="34" customHeight="1">
      <x:c r="A6" s="23" t="str">
        <x:v>Stockout SKU-Weeks</x:v>
      </x:c>
      <x:c r="B6" s="40" t="str">
        <x:v>Count of SKU-week records having ending stock quantity zero.</x:v>
      </x:c>
    </x:row>
    <x:row r="7" ht="34" customHeight="1">
      <x:c r="A7" s="23" t="str">
        <x:v>Below Reorder SKUs</x:v>
      </x:c>
      <x:c r="B7" s="40" t="str">
        <x:v>Number of SKUs below reorder point at final recorded week in the month.</x:v>
      </x:c>
    </x:row>
    <x:row r="8" ht="34" customHeight="1">
      <x:c r="A8" s="23" t="str">
        <x:v>Limitations</x:v>
      </x:c>
      <x:c r="B8" s="40" t="str">
        <x:v>Weekly stock and receipt values are synthetic; no live ERP integration. Monthly summary updates upon source regeneration.</x:v>
      </x:c>
    </x:row>
    <x:row r="9" ht="34" customHeight="1">
      <x:c r="B9" s="41"/>
    </x:row>
    <x:row r="10" ht="34" customHeight="1">
      <x:c r="B10" s="41"/>
    </x:row>
    <x:row r="11" ht="34" customHeight="1">
      <x:c r="B11" s="41"/>
    </x:row>
    <x:row r="12" ht="34" customHeight="1">
      <x:c r="B12" s="41"/>
    </x:row>
    <x:row r="13" ht="34" customHeight="1">
      <x:c r="B13" s="41"/>
    </x:row>
    <x:row r="14" ht="34" customHeight="1">
      <x:c r="B14" s="41"/>
    </x:row>
    <x:row r="15" ht="34" customHeight="1">
      <x:c r="B15" s="41"/>
    </x:row>
    <x:row r="16" ht="34" customHeight="1">
      <x:c r="B16" s="41"/>
    </x:row>
    <x:row r="17" ht="34" customHeight="1">
      <x:c r="B17" s="41"/>
    </x:row>
    <x:row r="18" ht="34" customHeight="1">
      <x:c r="B18" s="41"/>
    </x:row>
    <x:row r="19" ht="34" customHeight="1">
      <x:c r="B19" s="41"/>
    </x:row>
    <x:row r="20" ht="34" customHeight="1">
      <x:c r="B20" s="4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30" customHeight="1">
      <x:c r="A1" s="19" t="str">
        <x:v>snapshot_id</x:v>
      </x:c>
      <x:c r="B1" s="19" t="str">
        <x:v>week_start</x:v>
      </x:c>
      <x:c r="C1" s="19" t="str">
        <x:v>month</x:v>
      </x:c>
      <x:c r="D1" s="19" t="str">
        <x:v>product_id</x:v>
      </x:c>
      <x:c r="E1" s="19" t="str">
        <x:v>category</x:v>
      </x:c>
      <x:c r="F1" s="19" t="str">
        <x:v>stock_on_hand</x:v>
      </x:c>
      <x:c r="G1" s="19" t="str">
        <x:v>reorder_point</x:v>
      </x:c>
      <x:c r="H1" s="19" t="str">
        <x:v>weekly_units_demanded</x:v>
      </x:c>
      <x:c r="I1" s="19" t="str">
        <x:v>weekly_units_fulfilled</x:v>
      </x:c>
      <x:c r="J1" s="19" t="str">
        <x:v>inventory_value</x:v>
      </x:c>
      <x:c r="K1" s="19" t="str">
        <x:v>below_reorder</x:v>
      </x:c>
      <x:c r="L1" s="19" t="str">
        <x:v>stockout</x:v>
      </x:c>
    </x:row>
    <x:row r="2">
      <x:c r="A2" s="23" t="n">
        <x:v>1</x:v>
      </x:c>
      <x:c r="B2" s="23" t="str">
        <x:v>2025-07-07</x:v>
      </x:c>
      <x:c r="C2" s="23" t="str">
        <x:v>2025-07</x:v>
      </x:c>
      <x:c r="D2" s="23" t="str">
        <x:v>SKU001</x:v>
      </x:c>
      <x:c r="E2" s="23" t="str">
        <x:v>Office Supplies</x:v>
      </x:c>
      <x:c r="F2" s="23" t="n">
        <x:v>127</x:v>
      </x:c>
      <x:c r="G2" s="23" t="n">
        <x:v>100</x:v>
      </x:c>
      <x:c r="H2" s="23" t="n">
        <x:v>73</x:v>
      </x:c>
      <x:c r="I2" s="23" t="n">
        <x:v>73</x:v>
      </x:c>
      <x:c r="J2" s="23" t="n">
        <x:v>242219.48</x:v>
      </x:c>
      <x:c r="K2" s="23" t="n">
        <x:v>0</x:v>
      </x:c>
      <x:c r="L2" s="23" t="n">
        <x:v>0</x:v>
      </x:c>
    </x:row>
    <x:row r="3">
      <x:c r="A3" s="23" t="n">
        <x:v>2</x:v>
      </x:c>
      <x:c r="B3" s="23" t="str">
        <x:v>2025-07-14</x:v>
      </x:c>
      <x:c r="C3" s="23" t="str">
        <x:v>2025-07</x:v>
      </x:c>
      <x:c r="D3" s="23" t="str">
        <x:v>SKU001</x:v>
      </x:c>
      <x:c r="E3" s="23" t="str">
        <x:v>Office Supplies</x:v>
      </x:c>
      <x:c r="F3" s="23" t="n">
        <x:v>205</x:v>
      </x:c>
      <x:c r="G3" s="23" t="n">
        <x:v>100</x:v>
      </x:c>
      <x:c r="H3" s="23" t="n">
        <x:v>57</x:v>
      </x:c>
      <x:c r="I3" s="23" t="n">
        <x:v>57</x:v>
      </x:c>
      <x:c r="J3" s="23" t="n">
        <x:v>390984.2</x:v>
      </x:c>
      <x:c r="K3" s="23" t="n">
        <x:v>0</x:v>
      </x:c>
      <x:c r="L3" s="23" t="n">
        <x:v>0</x:v>
      </x:c>
    </x:row>
    <x:row r="4">
      <x:c r="A4" s="23" t="n">
        <x:v>3</x:v>
      </x:c>
      <x:c r="B4" s="23" t="str">
        <x:v>2025-07-21</x:v>
      </x:c>
      <x:c r="C4" s="23" t="str">
        <x:v>2025-07</x:v>
      </x:c>
      <x:c r="D4" s="23" t="str">
        <x:v>SKU001</x:v>
      </x:c>
      <x:c r="E4" s="23" t="str">
        <x:v>Office Supplies</x:v>
      </x:c>
      <x:c r="F4" s="23" t="n">
        <x:v>174</x:v>
      </x:c>
      <x:c r="G4" s="23" t="n">
        <x:v>100</x:v>
      </x:c>
      <x:c r="H4" s="23" t="n">
        <x:v>31</x:v>
      </x:c>
      <x:c r="I4" s="23" t="n">
        <x:v>31</x:v>
      </x:c>
      <x:c r="J4" s="23" t="n">
        <x:v>331859.76</x:v>
      </x:c>
      <x:c r="K4" s="23" t="n">
        <x:v>0</x:v>
      </x:c>
      <x:c r="L4" s="23" t="n">
        <x:v>0</x:v>
      </x:c>
    </x:row>
    <x:row r="5">
      <x:c r="A5" s="23" t="n">
        <x:v>4</x:v>
      </x:c>
      <x:c r="B5" s="23" t="str">
        <x:v>2025-07-28</x:v>
      </x:c>
      <x:c r="C5" s="23" t="str">
        <x:v>2025-07</x:v>
      </x:c>
      <x:c r="D5" s="23" t="str">
        <x:v>SKU001</x:v>
      </x:c>
      <x:c r="E5" s="23" t="str">
        <x:v>Office Supplies</x:v>
      </x:c>
      <x:c r="F5" s="23" t="n">
        <x:v>93</x:v>
      </x:c>
      <x:c r="G5" s="23" t="n">
        <x:v>100</x:v>
      </x:c>
      <x:c r="H5" s="23" t="n">
        <x:v>81</x:v>
      </x:c>
      <x:c r="I5" s="23" t="n">
        <x:v>81</x:v>
      </x:c>
      <x:c r="J5" s="23" t="n">
        <x:v>177373.32</x:v>
      </x:c>
      <x:c r="K5" s="23" t="n">
        <x:v>1</x:v>
      </x:c>
      <x:c r="L5" s="23" t="n">
        <x:v>0</x:v>
      </x:c>
    </x:row>
    <x:row r="6">
      <x:c r="A6" s="23" t="n">
        <x:v>5</x:v>
      </x:c>
      <x:c r="B6" s="23" t="str">
        <x:v>2025-08-04</x:v>
      </x:c>
      <x:c r="C6" s="23" t="str">
        <x:v>2025-08</x:v>
      </x:c>
      <x:c r="D6" s="23" t="str">
        <x:v>SKU001</x:v>
      </x:c>
      <x:c r="E6" s="23" t="str">
        <x:v>Office Supplies</x:v>
      </x:c>
      <x:c r="F6" s="23" t="n">
        <x:v>0</x:v>
      </x:c>
      <x:c r="G6" s="23" t="n">
        <x:v>100</x:v>
      </x:c>
      <x:c r="H6" s="23" t="n">
        <x:v>100</x:v>
      </x:c>
      <x:c r="I6" s="23" t="n">
        <x:v>93</x:v>
      </x:c>
      <x:c r="J6" s="23" t="n">
        <x:v>0</x:v>
      </x:c>
      <x:c r="K6" s="23" t="n">
        <x:v>1</x:v>
      </x:c>
      <x:c r="L6" s="23" t="n">
        <x:v>1</x:v>
      </x:c>
    </x:row>
    <x:row r="7">
      <x:c r="A7" s="23" t="n">
        <x:v>6</x:v>
      </x:c>
      <x:c r="B7" s="23" t="str">
        <x:v>2025-08-11</x:v>
      </x:c>
      <x:c r="C7" s="23" t="str">
        <x:v>2025-08</x:v>
      </x:c>
      <x:c r="D7" s="23" t="str">
        <x:v>SKU001</x:v>
      </x:c>
      <x:c r="E7" s="23" t="str">
        <x:v>Office Supplies</x:v>
      </x:c>
      <x:c r="F7" s="23" t="n">
        <x:v>0</x:v>
      </x:c>
      <x:c r="G7" s="23" t="n">
        <x:v>100</x:v>
      </x:c>
      <x:c r="H7" s="23" t="n">
        <x:v>84</x:v>
      </x:c>
      <x:c r="I7" s="23" t="n">
        <x:v>0</x:v>
      </x:c>
      <x:c r="J7" s="23" t="n">
        <x:v>0</x:v>
      </x:c>
      <x:c r="K7" s="23" t="n">
        <x:v>1</x:v>
      </x:c>
      <x:c r="L7" s="23" t="n">
        <x:v>1</x:v>
      </x:c>
    </x:row>
    <x:row r="8">
      <x:c r="A8" s="23" t="n">
        <x:v>7</x:v>
      </x:c>
      <x:c r="B8" s="23" t="str">
        <x:v>2025-08-18</x:v>
      </x:c>
      <x:c r="C8" s="23" t="str">
        <x:v>2025-08</x:v>
      </x:c>
      <x:c r="D8" s="23" t="str">
        <x:v>SKU001</x:v>
      </x:c>
      <x:c r="E8" s="23" t="str">
        <x:v>Office Supplies</x:v>
      </x:c>
      <x:c r="F8" s="23" t="n">
        <x:v>0</x:v>
      </x:c>
      <x:c r="G8" s="23" t="n">
        <x:v>100</x:v>
      </x:c>
      <x:c r="H8" s="23" t="n">
        <x:v>29</x:v>
      </x:c>
      <x:c r="I8" s="23" t="n">
        <x:v>0</x:v>
      </x:c>
      <x:c r="J8" s="23" t="n">
        <x:v>0</x:v>
      </x:c>
      <x:c r="K8" s="23" t="n">
        <x:v>1</x:v>
      </x:c>
      <x:c r="L8" s="23" t="n">
        <x:v>1</x:v>
      </x:c>
    </x:row>
    <x:row r="9">
      <x:c r="A9" s="23" t="n">
        <x:v>8</x:v>
      </x:c>
      <x:c r="B9" s="23" t="str">
        <x:v>2025-08-25</x:v>
      </x:c>
      <x:c r="C9" s="23" t="str">
        <x:v>2025-08</x:v>
      </x:c>
      <x:c r="D9" s="23" t="str">
        <x:v>SKU001</x:v>
      </x:c>
      <x:c r="E9" s="23" t="str">
        <x:v>Office Supplies</x:v>
      </x:c>
      <x:c r="F9" s="23" t="n">
        <x:v>82</x:v>
      </x:c>
      <x:c r="G9" s="23" t="n">
        <x:v>100</x:v>
      </x:c>
      <x:c r="H9" s="23" t="n">
        <x:v>28</x:v>
      </x:c>
      <x:c r="I9" s="23" t="n">
        <x:v>28</x:v>
      </x:c>
      <x:c r="J9" s="23" t="n">
        <x:v>156393.68</x:v>
      </x:c>
      <x:c r="K9" s="23" t="n">
        <x:v>1</x:v>
      </x:c>
      <x:c r="L9" s="23" t="n">
        <x:v>0</x:v>
      </x:c>
    </x:row>
    <x:row r="10">
      <x:c r="A10" s="23" t="n">
        <x:v>9</x:v>
      </x:c>
      <x:c r="B10" s="23" t="str">
        <x:v>2025-09-01</x:v>
      </x:c>
      <x:c r="C10" s="23" t="str">
        <x:v>2025-09</x:v>
      </x:c>
      <x:c r="D10" s="23" t="str">
        <x:v>SKU001</x:v>
      </x:c>
      <x:c r="E10" s="23" t="str">
        <x:v>Office Supplies</x:v>
      </x:c>
      <x:c r="F10" s="23" t="n">
        <x:v>0</x:v>
      </x:c>
      <x:c r="G10" s="23" t="n">
        <x:v>100</x:v>
      </x:c>
      <x:c r="H10" s="23" t="n">
        <x:v>93</x:v>
      </x:c>
      <x:c r="I10" s="23" t="n">
        <x:v>82</x:v>
      </x:c>
      <x:c r="J10" s="23" t="n">
        <x:v>0</x:v>
      </x:c>
      <x:c r="K10" s="23" t="n">
        <x:v>1</x:v>
      </x:c>
      <x:c r="L10" s="23" t="n">
        <x:v>1</x:v>
      </x:c>
    </x:row>
    <x:row r="11">
      <x:c r="A11" s="23" t="n">
        <x:v>10</x:v>
      </x:c>
      <x:c r="B11" s="23" t="str">
        <x:v>2025-09-08</x:v>
      </x:c>
      <x:c r="C11" s="23" t="str">
        <x:v>2025-09</x:v>
      </x:c>
      <x:c r="D11" s="23" t="str">
        <x:v>SKU001</x:v>
      </x:c>
      <x:c r="E11" s="23" t="str">
        <x:v>Office Supplies</x:v>
      </x:c>
      <x:c r="F11" s="23" t="n">
        <x:v>67</x:v>
      </x:c>
      <x:c r="G11" s="23" t="n">
        <x:v>100</x:v>
      </x:c>
      <x:c r="H11" s="23" t="n">
        <x:v>62</x:v>
      </x:c>
      <x:c r="I11" s="23" t="n">
        <x:v>62</x:v>
      </x:c>
      <x:c r="J11" s="23" t="n">
        <x:v>127785.08</x:v>
      </x:c>
      <x:c r="K11" s="23" t="n">
        <x:v>1</x:v>
      </x:c>
      <x:c r="L11" s="23" t="n">
        <x:v>0</x:v>
      </x:c>
    </x:row>
    <x:row r="12">
      <x:c r="A12" s="23" t="n">
        <x:v>11</x:v>
      </x:c>
      <x:c r="B12" s="23" t="str">
        <x:v>2025-09-15</x:v>
      </x:c>
      <x:c r="C12" s="23" t="str">
        <x:v>2025-09</x:v>
      </x:c>
      <x:c r="D12" s="23" t="str">
        <x:v>SKU001</x:v>
      </x:c>
      <x:c r="E12" s="23" t="str">
        <x:v>Office Supplies</x:v>
      </x:c>
      <x:c r="F12" s="23" t="n">
        <x:v>177</x:v>
      </x:c>
      <x:c r="G12" s="23" t="n">
        <x:v>100</x:v>
      </x:c>
      <x:c r="H12" s="23" t="n">
        <x:v>47</x:v>
      </x:c>
      <x:c r="I12" s="23" t="n">
        <x:v>47</x:v>
      </x:c>
      <x:c r="J12" s="23" t="n">
        <x:v>337581.48</x:v>
      </x:c>
      <x:c r="K12" s="23" t="n">
        <x:v>0</x:v>
      </x:c>
      <x:c r="L12" s="23" t="n">
        <x:v>0</x:v>
      </x:c>
    </x:row>
    <x:row r="13">
      <x:c r="A13" s="23" t="n">
        <x:v>12</x:v>
      </x:c>
      <x:c r="B13" s="23" t="str">
        <x:v>2025-09-22</x:v>
      </x:c>
      <x:c r="C13" s="23" t="str">
        <x:v>2025-09</x:v>
      </x:c>
      <x:c r="D13" s="23" t="str">
        <x:v>SKU001</x:v>
      </x:c>
      <x:c r="E13" s="23" t="str">
        <x:v>Office Supplies</x:v>
      </x:c>
      <x:c r="F13" s="23" t="n">
        <x:v>163</x:v>
      </x:c>
      <x:c r="G13" s="23" t="n">
        <x:v>100</x:v>
      </x:c>
      <x:c r="H13" s="23" t="n">
        <x:v>92</x:v>
      </x:c>
      <x:c r="I13" s="23" t="n">
        <x:v>92</x:v>
      </x:c>
      <x:c r="J13" s="23" t="n">
        <x:v>310880.12</x:v>
      </x:c>
      <x:c r="K13" s="23" t="n">
        <x:v>0</x:v>
      </x:c>
      <x:c r="L13" s="23" t="n">
        <x:v>0</x:v>
      </x:c>
    </x:row>
    <x:row r="14">
      <x:c r="A14" s="23" t="n">
        <x:v>13</x:v>
      </x:c>
      <x:c r="B14" s="23" t="str">
        <x:v>2025-09-29</x:v>
      </x:c>
      <x:c r="C14" s="23" t="str">
        <x:v>2025-09</x:v>
      </x:c>
      <x:c r="D14" s="23" t="str">
        <x:v>SKU001</x:v>
      </x:c>
      <x:c r="E14" s="23" t="str">
        <x:v>Office Supplies</x:v>
      </x:c>
      <x:c r="F14" s="23" t="n">
        <x:v>97</x:v>
      </x:c>
      <x:c r="G14" s="23" t="n">
        <x:v>100</x:v>
      </x:c>
      <x:c r="H14" s="23" t="n">
        <x:v>66</x:v>
      </x:c>
      <x:c r="I14" s="23" t="n">
        <x:v>66</x:v>
      </x:c>
      <x:c r="J14" s="23" t="n">
        <x:v>185002.28</x:v>
      </x:c>
      <x:c r="K14" s="23" t="n">
        <x:v>1</x:v>
      </x:c>
      <x:c r="L14" s="23" t="n">
        <x:v>0</x:v>
      </x:c>
    </x:row>
    <x:row r="15">
      <x:c r="A15" s="23" t="n">
        <x:v>14</x:v>
      </x:c>
      <x:c r="B15" s="23" t="str">
        <x:v>2025-10-06</x:v>
      </x:c>
      <x:c r="C15" s="23" t="str">
        <x:v>2025-10</x:v>
      </x:c>
      <x:c r="D15" s="23" t="str">
        <x:v>SKU001</x:v>
      </x:c>
      <x:c r="E15" s="23" t="str">
        <x:v>Office Supplies</x:v>
      </x:c>
      <x:c r="F15" s="23" t="n">
        <x:v>139</x:v>
      </x:c>
      <x:c r="G15" s="23" t="n">
        <x:v>100</x:v>
      </x:c>
      <x:c r="H15" s="23" t="n">
        <x:v>42</x:v>
      </x:c>
      <x:c r="I15" s="23" t="n">
        <x:v>42</x:v>
      </x:c>
      <x:c r="J15" s="23" t="n">
        <x:v>265106.36</x:v>
      </x:c>
      <x:c r="K15" s="23" t="n">
        <x:v>0</x:v>
      </x:c>
      <x:c r="L15" s="23" t="n">
        <x:v>0</x:v>
      </x:c>
    </x:row>
    <x:row r="16">
      <x:c r="A16" s="23" t="n">
        <x:v>15</x:v>
      </x:c>
      <x:c r="B16" s="23" t="str">
        <x:v>2025-10-13</x:v>
      </x:c>
      <x:c r="C16" s="23" t="str">
        <x:v>2025-10</x:v>
      </x:c>
      <x:c r="D16" s="23" t="str">
        <x:v>SKU001</x:v>
      </x:c>
      <x:c r="E16" s="23" t="str">
        <x:v>Office Supplies</x:v>
      </x:c>
      <x:c r="F16" s="23" t="n">
        <x:v>150</x:v>
      </x:c>
      <x:c r="G16" s="23" t="n">
        <x:v>100</x:v>
      </x:c>
      <x:c r="H16" s="23" t="n">
        <x:v>69</x:v>
      </x:c>
      <x:c r="I16" s="23" t="n">
        <x:v>69</x:v>
      </x:c>
      <x:c r="J16" s="23" t="n">
        <x:v>286086</x:v>
      </x:c>
      <x:c r="K16" s="23" t="n">
        <x:v>0</x:v>
      </x:c>
      <x:c r="L16" s="23" t="n">
        <x:v>0</x:v>
      </x:c>
    </x:row>
    <x:row r="17">
      <x:c r="A17" s="23" t="n">
        <x:v>16</x:v>
      </x:c>
      <x:c r="B17" s="23" t="str">
        <x:v>2025-10-20</x:v>
      </x:c>
      <x:c r="C17" s="23" t="str">
        <x:v>2025-10</x:v>
      </x:c>
      <x:c r="D17" s="23" t="str">
        <x:v>SKU001</x:v>
      </x:c>
      <x:c r="E17" s="23" t="str">
        <x:v>Office Supplies</x:v>
      </x:c>
      <x:c r="F17" s="23" t="n">
        <x:v>187</x:v>
      </x:c>
      <x:c r="G17" s="23" t="n">
        <x:v>100</x:v>
      </x:c>
      <x:c r="H17" s="23" t="n">
        <x:v>25</x:v>
      </x:c>
      <x:c r="I17" s="23" t="n">
        <x:v>25</x:v>
      </x:c>
      <x:c r="J17" s="23" t="n">
        <x:v>356653.88</x:v>
      </x:c>
      <x:c r="K17" s="23" t="n">
        <x:v>0</x:v>
      </x:c>
      <x:c r="L17" s="23" t="n">
        <x:v>0</x:v>
      </x:c>
    </x:row>
    <x:row r="18">
      <x:c r="A18" s="23" t="n">
        <x:v>17</x:v>
      </x:c>
      <x:c r="B18" s="23" t="str">
        <x:v>2025-10-27</x:v>
      </x:c>
      <x:c r="C18" s="23" t="str">
        <x:v>2025-10</x:v>
      </x:c>
      <x:c r="D18" s="23" t="str">
        <x:v>SKU001</x:v>
      </x:c>
      <x:c r="E18" s="23" t="str">
        <x:v>Office Supplies</x:v>
      </x:c>
      <x:c r="F18" s="23" t="n">
        <x:v>288</x:v>
      </x:c>
      <x:c r="G18" s="23" t="n">
        <x:v>100</x:v>
      </x:c>
      <x:c r="H18" s="23" t="n">
        <x:v>63</x:v>
      </x:c>
      <x:c r="I18" s="23" t="n">
        <x:v>63</x:v>
      </x:c>
      <x:c r="J18" s="23" t="n">
        <x:v>549285.12</x:v>
      </x:c>
      <x:c r="K18" s="23" t="n">
        <x:v>0</x:v>
      </x:c>
      <x:c r="L18" s="23" t="n">
        <x:v>0</x:v>
      </x:c>
    </x:row>
    <x:row r="19">
      <x:c r="A19" s="23" t="n">
        <x:v>18</x:v>
      </x:c>
      <x:c r="B19" s="23" t="str">
        <x:v>2025-11-03</x:v>
      </x:c>
      <x:c r="C19" s="23" t="str">
        <x:v>2025-11</x:v>
      </x:c>
      <x:c r="D19" s="23" t="str">
        <x:v>SKU001</x:v>
      </x:c>
      <x:c r="E19" s="23" t="str">
        <x:v>Office Supplies</x:v>
      </x:c>
      <x:c r="F19" s="23" t="n">
        <x:v>185</x:v>
      </x:c>
      <x:c r="G19" s="23" t="n">
        <x:v>100</x:v>
      </x:c>
      <x:c r="H19" s="23" t="n">
        <x:v>103</x:v>
      </x:c>
      <x:c r="I19" s="23" t="n">
        <x:v>103</x:v>
      </x:c>
      <x:c r="J19" s="23" t="n">
        <x:v>352839.4</x:v>
      </x:c>
      <x:c r="K19" s="23" t="n">
        <x:v>0</x:v>
      </x:c>
      <x:c r="L19" s="23" t="n">
        <x:v>0</x:v>
      </x:c>
    </x:row>
    <x:row r="20">
      <x:c r="A20" s="23" t="n">
        <x:v>19</x:v>
      </x:c>
      <x:c r="B20" s="23" t="str">
        <x:v>2025-11-10</x:v>
      </x:c>
      <x:c r="C20" s="23" t="str">
        <x:v>2025-11</x:v>
      </x:c>
      <x:c r="D20" s="23" t="str">
        <x:v>SKU001</x:v>
      </x:c>
      <x:c r="E20" s="23" t="str">
        <x:v>Office Supplies</x:v>
      </x:c>
      <x:c r="F20" s="23" t="n">
        <x:v>100</x:v>
      </x:c>
      <x:c r="G20" s="23" t="n">
        <x:v>100</x:v>
      </x:c>
      <x:c r="H20" s="23" t="n">
        <x:v>85</x:v>
      </x:c>
      <x:c r="I20" s="23" t="n">
        <x:v>85</x:v>
      </x:c>
      <x:c r="J20" s="23" t="n">
        <x:v>190724</x:v>
      </x:c>
      <x:c r="K20" s="23" t="n">
        <x:v>0</x:v>
      </x:c>
      <x:c r="L20" s="23" t="n">
        <x:v>0</x:v>
      </x:c>
    </x:row>
    <x:row r="21">
      <x:c r="A21" s="23" t="n">
        <x:v>20</x:v>
      </x:c>
      <x:c r="B21" s="23" t="str">
        <x:v>2025-11-17</x:v>
      </x:c>
      <x:c r="C21" s="23" t="str">
        <x:v>2025-11</x:v>
      </x:c>
      <x:c r="D21" s="23" t="str">
        <x:v>SKU001</x:v>
      </x:c>
      <x:c r="E21" s="23" t="str">
        <x:v>Office Supplies</x:v>
      </x:c>
      <x:c r="F21" s="23" t="n">
        <x:v>195</x:v>
      </x:c>
      <x:c r="G21" s="23" t="n">
        <x:v>100</x:v>
      </x:c>
      <x:c r="H21" s="23" t="n">
        <x:v>60</x:v>
      </x:c>
      <x:c r="I21" s="23" t="n">
        <x:v>60</x:v>
      </x:c>
      <x:c r="J21" s="23" t="n">
        <x:v>371911.8</x:v>
      </x:c>
      <x:c r="K21" s="23" t="n">
        <x:v>0</x:v>
      </x:c>
      <x:c r="L21" s="23" t="n">
        <x:v>0</x:v>
      </x:c>
    </x:row>
    <x:row r="22">
      <x:c r="A22" s="23" t="n">
        <x:v>21</x:v>
      </x:c>
      <x:c r="B22" s="23" t="str">
        <x:v>2025-11-24</x:v>
      </x:c>
      <x:c r="C22" s="23" t="str">
        <x:v>2025-11</x:v>
      </x:c>
      <x:c r="D22" s="23" t="str">
        <x:v>SKU001</x:v>
      </x:c>
      <x:c r="E22" s="23" t="str">
        <x:v>Office Supplies</x:v>
      </x:c>
      <x:c r="F22" s="23" t="n">
        <x:v>241</x:v>
      </x:c>
      <x:c r="G22" s="23" t="n">
        <x:v>100</x:v>
      </x:c>
      <x:c r="H22" s="23" t="n">
        <x:v>44</x:v>
      </x:c>
      <x:c r="I22" s="23" t="n">
        <x:v>44</x:v>
      </x:c>
      <x:c r="J22" s="23" t="n">
        <x:v>459644.84</x:v>
      </x:c>
      <x:c r="K22" s="23" t="n">
        <x:v>0</x:v>
      </x:c>
      <x:c r="L22" s="23" t="n">
        <x:v>0</x:v>
      </x:c>
    </x:row>
    <x:row r="23">
      <x:c r="A23" s="23" t="n">
        <x:v>22</x:v>
      </x:c>
      <x:c r="B23" s="23" t="str">
        <x:v>2025-12-01</x:v>
      </x:c>
      <x:c r="C23" s="23" t="str">
        <x:v>2025-12</x:v>
      </x:c>
      <x:c r="D23" s="23" t="str">
        <x:v>SKU001</x:v>
      </x:c>
      <x:c r="E23" s="23" t="str">
        <x:v>Office Supplies</x:v>
      </x:c>
      <x:c r="F23" s="23" t="n">
        <x:v>158</x:v>
      </x:c>
      <x:c r="G23" s="23" t="n">
        <x:v>100</x:v>
      </x:c>
      <x:c r="H23" s="23" t="n">
        <x:v>83</x:v>
      </x:c>
      <x:c r="I23" s="23" t="n">
        <x:v>83</x:v>
      </x:c>
      <x:c r="J23" s="23" t="n">
        <x:v>301343.92</x:v>
      </x:c>
      <x:c r="K23" s="23" t="n">
        <x:v>0</x:v>
      </x:c>
      <x:c r="L23" s="23" t="n">
        <x:v>0</x:v>
      </x:c>
    </x:row>
    <x:row r="24">
      <x:c r="A24" s="23" t="n">
        <x:v>23</x:v>
      </x:c>
      <x:c r="B24" s="23" t="str">
        <x:v>2025-12-08</x:v>
      </x:c>
      <x:c r="C24" s="23" t="str">
        <x:v>2025-12</x:v>
      </x:c>
      <x:c r="D24" s="23" t="str">
        <x:v>SKU001</x:v>
      </x:c>
      <x:c r="E24" s="23" t="str">
        <x:v>Office Supplies</x:v>
      </x:c>
      <x:c r="F24" s="23" t="n">
        <x:v>76</x:v>
      </x:c>
      <x:c r="G24" s="23" t="n">
        <x:v>100</x:v>
      </x:c>
      <x:c r="H24" s="23" t="n">
        <x:v>82</x:v>
      </x:c>
      <x:c r="I24" s="23" t="n">
        <x:v>82</x:v>
      </x:c>
      <x:c r="J24" s="23" t="n">
        <x:v>144950.24</x:v>
      </x:c>
      <x:c r="K24" s="23" t="n">
        <x:v>1</x:v>
      </x:c>
      <x:c r="L24" s="23" t="n">
        <x:v>0</x:v>
      </x:c>
    </x:row>
    <x:row r="25">
      <x:c r="A25" s="23" t="n">
        <x:v>24</x:v>
      </x:c>
      <x:c r="B25" s="23" t="str">
        <x:v>2025-12-15</x:v>
      </x:c>
      <x:c r="C25" s="23" t="str">
        <x:v>2025-12</x:v>
      </x:c>
      <x:c r="D25" s="23" t="str">
        <x:v>SKU001</x:v>
      </x:c>
      <x:c r="E25" s="23" t="str">
        <x:v>Office Supplies</x:v>
      </x:c>
      <x:c r="F25" s="23" t="n">
        <x:v>58</x:v>
      </x:c>
      <x:c r="G25" s="23" t="n">
        <x:v>100</x:v>
      </x:c>
      <x:c r="H25" s="23" t="n">
        <x:v>18</x:v>
      </x:c>
      <x:c r="I25" s="23" t="n">
        <x:v>18</x:v>
      </x:c>
      <x:c r="J25" s="23" t="n">
        <x:v>110619.92</x:v>
      </x:c>
      <x:c r="K25" s="23" t="n">
        <x:v>1</x:v>
      </x:c>
      <x:c r="L25" s="23" t="n">
        <x:v>0</x:v>
      </x:c>
    </x:row>
    <x:row r="26">
      <x:c r="A26" s="23" t="n">
        <x:v>25</x:v>
      </x:c>
      <x:c r="B26" s="23" t="str">
        <x:v>2025-12-22</x:v>
      </x:c>
      <x:c r="C26" s="23" t="str">
        <x:v>2025-12</x:v>
      </x:c>
      <x:c r="D26" s="23" t="str">
        <x:v>SKU001</x:v>
      </x:c>
      <x:c r="E26" s="23" t="str">
        <x:v>Office Supplies</x:v>
      </x:c>
      <x:c r="F26" s="23" t="n">
        <x:v>40</x:v>
      </x:c>
      <x:c r="G26" s="23" t="n">
        <x:v>100</x:v>
      </x:c>
      <x:c r="H26" s="23" t="n">
        <x:v>18</x:v>
      </x:c>
      <x:c r="I26" s="23" t="n">
        <x:v>18</x:v>
      </x:c>
      <x:c r="J26" s="23" t="n">
        <x:v>76289.6</x:v>
      </x:c>
      <x:c r="K26" s="23" t="n">
        <x:v>1</x:v>
      </x:c>
      <x:c r="L26" s="23" t="n">
        <x:v>0</x:v>
      </x:c>
    </x:row>
    <x:row r="27">
      <x:c r="A27" s="23" t="n">
        <x:v>26</x:v>
      </x:c>
      <x:c r="B27" s="23" t="str">
        <x:v>2025-12-29</x:v>
      </x:c>
      <x:c r="C27" s="23" t="str">
        <x:v>2025-12</x:v>
      </x:c>
      <x:c r="D27" s="23" t="str">
        <x:v>SKU001</x:v>
      </x:c>
      <x:c r="E27" s="23" t="str">
        <x:v>Office Supplies</x:v>
      </x:c>
      <x:c r="F27" s="23" t="n">
        <x:v>166</x:v>
      </x:c>
      <x:c r="G27" s="23" t="n">
        <x:v>100</x:v>
      </x:c>
      <x:c r="H27" s="23" t="n">
        <x:v>19</x:v>
      </x:c>
      <x:c r="I27" s="23" t="n">
        <x:v>19</x:v>
      </x:c>
      <x:c r="J27" s="23" t="n">
        <x:v>316601.84</x:v>
      </x:c>
      <x:c r="K27" s="23" t="n">
        <x:v>0</x:v>
      </x:c>
      <x:c r="L27" s="23" t="n">
        <x:v>0</x:v>
      </x:c>
    </x:row>
    <x:row r="28">
      <x:c r="A28" s="23" t="n">
        <x:v>27</x:v>
      </x:c>
      <x:c r="B28" s="23" t="str">
        <x:v>2026-01-05</x:v>
      </x:c>
      <x:c r="C28" s="23" t="str">
        <x:v>2026-01</x:v>
      </x:c>
      <x:c r="D28" s="23" t="str">
        <x:v>SKU001</x:v>
      </x:c>
      <x:c r="E28" s="23" t="str">
        <x:v>Office Supplies</x:v>
      </x:c>
      <x:c r="F28" s="23" t="n">
        <x:v>138</x:v>
      </x:c>
      <x:c r="G28" s="23" t="n">
        <x:v>100</x:v>
      </x:c>
      <x:c r="H28" s="23" t="n">
        <x:v>28</x:v>
      </x:c>
      <x:c r="I28" s="23" t="n">
        <x:v>28</x:v>
      </x:c>
      <x:c r="J28" s="23" t="n">
        <x:v>263199.12</x:v>
      </x:c>
      <x:c r="K28" s="23" t="n">
        <x:v>0</x:v>
      </x:c>
      <x:c r="L28" s="23" t="n">
        <x:v>0</x:v>
      </x:c>
    </x:row>
    <x:row r="29">
      <x:c r="A29" s="23" t="n">
        <x:v>28</x:v>
      </x:c>
      <x:c r="B29" s="23" t="str">
        <x:v>2026-01-12</x:v>
      </x:c>
      <x:c r="C29" s="23" t="str">
        <x:v>2026-01</x:v>
      </x:c>
      <x:c r="D29" s="23" t="str">
        <x:v>SKU001</x:v>
      </x:c>
      <x:c r="E29" s="23" t="str">
        <x:v>Office Supplies</x:v>
      </x:c>
      <x:c r="F29" s="23" t="n">
        <x:v>102</x:v>
      </x:c>
      <x:c r="G29" s="23" t="n">
        <x:v>100</x:v>
      </x:c>
      <x:c r="H29" s="23" t="n">
        <x:v>36</x:v>
      </x:c>
      <x:c r="I29" s="23" t="n">
        <x:v>36</x:v>
      </x:c>
      <x:c r="J29" s="23" t="n">
        <x:v>194538.48</x:v>
      </x:c>
      <x:c r="K29" s="23" t="n">
        <x:v>0</x:v>
      </x:c>
      <x:c r="L29" s="23" t="n">
        <x:v>0</x:v>
      </x:c>
    </x:row>
    <x:row r="30">
      <x:c r="A30" s="23" t="n">
        <x:v>29</x:v>
      </x:c>
      <x:c r="B30" s="23" t="str">
        <x:v>2026-01-19</x:v>
      </x:c>
      <x:c r="C30" s="23" t="str">
        <x:v>2026-01</x:v>
      </x:c>
      <x:c r="D30" s="23" t="str">
        <x:v>SKU001</x:v>
      </x:c>
      <x:c r="E30" s="23" t="str">
        <x:v>Office Supplies</x:v>
      </x:c>
      <x:c r="F30" s="23" t="n">
        <x:v>156</x:v>
      </x:c>
      <x:c r="G30" s="23" t="n">
        <x:v>100</x:v>
      </x:c>
      <x:c r="H30" s="23" t="n">
        <x:v>77</x:v>
      </x:c>
      <x:c r="I30" s="23" t="n">
        <x:v>77</x:v>
      </x:c>
      <x:c r="J30" s="23" t="n">
        <x:v>297529.44</x:v>
      </x:c>
      <x:c r="K30" s="23" t="n">
        <x:v>0</x:v>
      </x:c>
      <x:c r="L30" s="23" t="n">
        <x:v>0</x:v>
      </x:c>
    </x:row>
    <x:row r="31">
      <x:c r="A31" s="23" t="n">
        <x:v>30</x:v>
      </x:c>
      <x:c r="B31" s="23" t="str">
        <x:v>2026-01-26</x:v>
      </x:c>
      <x:c r="C31" s="23" t="str">
        <x:v>2026-01</x:v>
      </x:c>
      <x:c r="D31" s="23" t="str">
        <x:v>SKU001</x:v>
      </x:c>
      <x:c r="E31" s="23" t="str">
        <x:v>Office Supplies</x:v>
      </x:c>
      <x:c r="F31" s="23" t="n">
        <x:v>197</x:v>
      </x:c>
      <x:c r="G31" s="23" t="n">
        <x:v>100</x:v>
      </x:c>
      <x:c r="H31" s="23" t="n">
        <x:v>74</x:v>
      </x:c>
      <x:c r="I31" s="23" t="n">
        <x:v>74</x:v>
      </x:c>
      <x:c r="J31" s="23" t="n">
        <x:v>375726.28</x:v>
      </x:c>
      <x:c r="K31" s="23" t="n">
        <x:v>0</x:v>
      </x:c>
      <x:c r="L31" s="23" t="n">
        <x:v>0</x:v>
      </x:c>
    </x:row>
    <x:row r="32">
      <x:c r="A32" s="23" t="n">
        <x:v>31</x:v>
      </x:c>
      <x:c r="B32" s="23" t="str">
        <x:v>2026-02-02</x:v>
      </x:c>
      <x:c r="C32" s="23" t="str">
        <x:v>2026-02</x:v>
      </x:c>
      <x:c r="D32" s="23" t="str">
        <x:v>SKU001</x:v>
      </x:c>
      <x:c r="E32" s="23" t="str">
        <x:v>Office Supplies</x:v>
      </x:c>
      <x:c r="F32" s="23" t="n">
        <x:v>260</x:v>
      </x:c>
      <x:c r="G32" s="23" t="n">
        <x:v>100</x:v>
      </x:c>
      <x:c r="H32" s="23" t="n">
        <x:v>35</x:v>
      </x:c>
      <x:c r="I32" s="23" t="n">
        <x:v>35</x:v>
      </x:c>
      <x:c r="J32" s="23" t="n">
        <x:v>495882.4</x:v>
      </x:c>
      <x:c r="K32" s="23" t="n">
        <x:v>0</x:v>
      </x:c>
      <x:c r="L32" s="23" t="n">
        <x:v>0</x:v>
      </x:c>
    </x:row>
    <x:row r="33">
      <x:c r="A33" s="23" t="n">
        <x:v>32</x:v>
      </x:c>
      <x:c r="B33" s="23" t="str">
        <x:v>2026-02-09</x:v>
      </x:c>
      <x:c r="C33" s="23" t="str">
        <x:v>2026-02</x:v>
      </x:c>
      <x:c r="D33" s="23" t="str">
        <x:v>SKU001</x:v>
      </x:c>
      <x:c r="E33" s="23" t="str">
        <x:v>Office Supplies</x:v>
      </x:c>
      <x:c r="F33" s="23" t="n">
        <x:v>231</x:v>
      </x:c>
      <x:c r="G33" s="23" t="n">
        <x:v>100</x:v>
      </x:c>
      <x:c r="H33" s="23" t="n">
        <x:v>29</x:v>
      </x:c>
      <x:c r="I33" s="23" t="n">
        <x:v>29</x:v>
      </x:c>
      <x:c r="J33" s="23" t="n">
        <x:v>440572.44</x:v>
      </x:c>
      <x:c r="K33" s="23" t="n">
        <x:v>0</x:v>
      </x:c>
      <x:c r="L33" s="23" t="n">
        <x:v>0</x:v>
      </x:c>
    </x:row>
    <x:row r="34">
      <x:c r="A34" s="23" t="n">
        <x:v>33</x:v>
      </x:c>
      <x:c r="B34" s="23" t="str">
        <x:v>2026-02-16</x:v>
      </x:c>
      <x:c r="C34" s="23" t="str">
        <x:v>2026-02</x:v>
      </x:c>
      <x:c r="D34" s="23" t="str">
        <x:v>SKU001</x:v>
      </x:c>
      <x:c r="E34" s="23" t="str">
        <x:v>Office Supplies</x:v>
      </x:c>
      <x:c r="F34" s="23" t="n">
        <x:v>323</x:v>
      </x:c>
      <x:c r="G34" s="23" t="n">
        <x:v>100</x:v>
      </x:c>
      <x:c r="H34" s="23" t="n">
        <x:v>41</x:v>
      </x:c>
      <x:c r="I34" s="23" t="n">
        <x:v>41</x:v>
      </x:c>
      <x:c r="J34" s="23" t="n">
        <x:v>616038.52</x:v>
      </x:c>
      <x:c r="K34" s="23" t="n">
        <x:v>0</x:v>
      </x:c>
      <x:c r="L34" s="23" t="n">
        <x:v>0</x:v>
      </x:c>
    </x:row>
    <x:row r="35">
      <x:c r="A35" s="23" t="n">
        <x:v>34</x:v>
      </x:c>
      <x:c r="B35" s="23" t="str">
        <x:v>2026-02-23</x:v>
      </x:c>
      <x:c r="C35" s="23" t="str">
        <x:v>2026-02</x:v>
      </x:c>
      <x:c r="D35" s="23" t="str">
        <x:v>SKU001</x:v>
      </x:c>
      <x:c r="E35" s="23" t="str">
        <x:v>Office Supplies</x:v>
      </x:c>
      <x:c r="F35" s="23" t="n">
        <x:v>385</x:v>
      </x:c>
      <x:c r="G35" s="23" t="n">
        <x:v>100</x:v>
      </x:c>
      <x:c r="H35" s="23" t="n">
        <x:v>84</x:v>
      </x:c>
      <x:c r="I35" s="23" t="n">
        <x:v>84</x:v>
      </x:c>
      <x:c r="J35" s="23" t="n">
        <x:v>734287.4</x:v>
      </x:c>
      <x:c r="K35" s="23" t="n">
        <x:v>0</x:v>
      </x:c>
      <x:c r="L35" s="23" t="n">
        <x:v>0</x:v>
      </x:c>
    </x:row>
    <x:row r="36">
      <x:c r="A36" s="23" t="n">
        <x:v>35</x:v>
      </x:c>
      <x:c r="B36" s="23" t="str">
        <x:v>2026-03-02</x:v>
      </x:c>
      <x:c r="C36" s="23" t="str">
        <x:v>2026-03</x:v>
      </x:c>
      <x:c r="D36" s="23" t="str">
        <x:v>SKU001</x:v>
      </x:c>
      <x:c r="E36" s="23" t="str">
        <x:v>Office Supplies</x:v>
      </x:c>
      <x:c r="F36" s="23" t="n">
        <x:v>295</x:v>
      </x:c>
      <x:c r="G36" s="23" t="n">
        <x:v>100</x:v>
      </x:c>
      <x:c r="H36" s="23" t="n">
        <x:v>90</x:v>
      </x:c>
      <x:c r="I36" s="23" t="n">
        <x:v>90</x:v>
      </x:c>
      <x:c r="J36" s="23" t="n">
        <x:v>562635.8</x:v>
      </x:c>
      <x:c r="K36" s="23" t="n">
        <x:v>0</x:v>
      </x:c>
      <x:c r="L36" s="23" t="n">
        <x:v>0</x:v>
      </x:c>
    </x:row>
    <x:row r="37">
      <x:c r="A37" s="23" t="n">
        <x:v>36</x:v>
      </x:c>
      <x:c r="B37" s="23" t="str">
        <x:v>2026-03-09</x:v>
      </x:c>
      <x:c r="C37" s="23" t="str">
        <x:v>2026-03</x:v>
      </x:c>
      <x:c r="D37" s="23" t="str">
        <x:v>SKU001</x:v>
      </x:c>
      <x:c r="E37" s="23" t="str">
        <x:v>Office Supplies</x:v>
      </x:c>
      <x:c r="F37" s="23" t="n">
        <x:v>223</x:v>
      </x:c>
      <x:c r="G37" s="23" t="n">
        <x:v>100</x:v>
      </x:c>
      <x:c r="H37" s="23" t="n">
        <x:v>72</x:v>
      </x:c>
      <x:c r="I37" s="23" t="n">
        <x:v>72</x:v>
      </x:c>
      <x:c r="J37" s="23" t="n">
        <x:v>425314.52</x:v>
      </x:c>
      <x:c r="K37" s="23" t="n">
        <x:v>0</x:v>
      </x:c>
      <x:c r="L37" s="23" t="n">
        <x:v>0</x:v>
      </x:c>
    </x:row>
    <x:row r="38">
      <x:c r="A38" s="23" t="n">
        <x:v>37</x:v>
      </x:c>
      <x:c r="B38" s="23" t="str">
        <x:v>2026-03-16</x:v>
      </x:c>
      <x:c r="C38" s="23" t="str">
        <x:v>2026-03</x:v>
      </x:c>
      <x:c r="D38" s="23" t="str">
        <x:v>SKU001</x:v>
      </x:c>
      <x:c r="E38" s="23" t="str">
        <x:v>Office Supplies</x:v>
      </x:c>
      <x:c r="F38" s="23" t="n">
        <x:v>164</x:v>
      </x:c>
      <x:c r="G38" s="23" t="n">
        <x:v>100</x:v>
      </x:c>
      <x:c r="H38" s="23" t="n">
        <x:v>59</x:v>
      </x:c>
      <x:c r="I38" s="23" t="n">
        <x:v>59</x:v>
      </x:c>
      <x:c r="J38" s="23" t="n">
        <x:v>312787.36</x:v>
      </x:c>
      <x:c r="K38" s="23" t="n">
        <x:v>0</x:v>
      </x:c>
      <x:c r="L38" s="23" t="n">
        <x:v>0</x:v>
      </x:c>
    </x:row>
    <x:row r="39">
      <x:c r="A39" s="23" t="n">
        <x:v>38</x:v>
      </x:c>
      <x:c r="B39" s="23" t="str">
        <x:v>2026-03-23</x:v>
      </x:c>
      <x:c r="C39" s="23" t="str">
        <x:v>2026-03</x:v>
      </x:c>
      <x:c r="D39" s="23" t="str">
        <x:v>SKU001</x:v>
      </x:c>
      <x:c r="E39" s="23" t="str">
        <x:v>Office Supplies</x:v>
      </x:c>
      <x:c r="F39" s="23" t="n">
        <x:v>232</x:v>
      </x:c>
      <x:c r="G39" s="23" t="n">
        <x:v>100</x:v>
      </x:c>
      <x:c r="H39" s="23" t="n">
        <x:v>29</x:v>
      </x:c>
      <x:c r="I39" s="23" t="n">
        <x:v>29</x:v>
      </x:c>
      <x:c r="J39" s="23" t="n">
        <x:v>442479.68</x:v>
      </x:c>
      <x:c r="K39" s="23" t="n">
        <x:v>0</x:v>
      </x:c>
      <x:c r="L39" s="23" t="n">
        <x:v>0</x:v>
      </x:c>
    </x:row>
    <x:row r="40">
      <x:c r="A40" s="23" t="n">
        <x:v>39</x:v>
      </x:c>
      <x:c r="B40" s="23" t="str">
        <x:v>2026-03-30</x:v>
      </x:c>
      <x:c r="C40" s="23" t="str">
        <x:v>2026-03</x:v>
      </x:c>
      <x:c r="D40" s="23" t="str">
        <x:v>SKU001</x:v>
      </x:c>
      <x:c r="E40" s="23" t="str">
        <x:v>Office Supplies</x:v>
      </x:c>
      <x:c r="F40" s="23" t="n">
        <x:v>149</x:v>
      </x:c>
      <x:c r="G40" s="23" t="n">
        <x:v>100</x:v>
      </x:c>
      <x:c r="H40" s="23" t="n">
        <x:v>83</x:v>
      </x:c>
      <x:c r="I40" s="23" t="n">
        <x:v>83</x:v>
      </x:c>
      <x:c r="J40" s="23" t="n">
        <x:v>284178.76</x:v>
      </x:c>
      <x:c r="K40" s="23" t="n">
        <x:v>0</x:v>
      </x:c>
      <x:c r="L40" s="23" t="n">
        <x:v>0</x:v>
      </x:c>
    </x:row>
    <x:row r="41">
      <x:c r="A41" s="23" t="n">
        <x:v>40</x:v>
      </x:c>
      <x:c r="B41" s="23" t="str">
        <x:v>2026-04-06</x:v>
      </x:c>
      <x:c r="C41" s="23" t="str">
        <x:v>2026-04</x:v>
      </x:c>
      <x:c r="D41" s="23" t="str">
        <x:v>SKU001</x:v>
      </x:c>
      <x:c r="E41" s="23" t="str">
        <x:v>Office Supplies</x:v>
      </x:c>
      <x:c r="F41" s="23" t="n">
        <x:v>65</x:v>
      </x:c>
      <x:c r="G41" s="23" t="n">
        <x:v>100</x:v>
      </x:c>
      <x:c r="H41" s="23" t="n">
        <x:v>84</x:v>
      </x:c>
      <x:c r="I41" s="23" t="n">
        <x:v>84</x:v>
      </x:c>
      <x:c r="J41" s="23" t="n">
        <x:v>123970.6</x:v>
      </x:c>
      <x:c r="K41" s="23" t="n">
        <x:v>1</x:v>
      </x:c>
      <x:c r="L41" s="23" t="n">
        <x:v>0</x:v>
      </x:c>
    </x:row>
    <x:row r="42">
      <x:c r="A42" s="23" t="n">
        <x:v>41</x:v>
      </x:c>
      <x:c r="B42" s="23" t="str">
        <x:v>2026-04-13</x:v>
      </x:c>
      <x:c r="C42" s="23" t="str">
        <x:v>2026-04</x:v>
      </x:c>
      <x:c r="D42" s="23" t="str">
        <x:v>SKU001</x:v>
      </x:c>
      <x:c r="E42" s="23" t="str">
        <x:v>Office Supplies</x:v>
      </x:c>
      <x:c r="F42" s="23" t="n">
        <x:v>74</x:v>
      </x:c>
      <x:c r="G42" s="23" t="n">
        <x:v>100</x:v>
      </x:c>
      <x:c r="H42" s="23" t="n">
        <x:v>61</x:v>
      </x:c>
      <x:c r="I42" s="23" t="n">
        <x:v>61</x:v>
      </x:c>
      <x:c r="J42" s="23" t="n">
        <x:v>141135.76</x:v>
      </x:c>
      <x:c r="K42" s="23" t="n">
        <x:v>1</x:v>
      </x:c>
      <x:c r="L42" s="23" t="n">
        <x:v>0</x:v>
      </x:c>
    </x:row>
    <x:row r="43">
      <x:c r="A43" s="23" t="n">
        <x:v>42</x:v>
      </x:c>
      <x:c r="B43" s="23" t="str">
        <x:v>2026-04-20</x:v>
      </x:c>
      <x:c r="C43" s="23" t="str">
        <x:v>2026-04</x:v>
      </x:c>
      <x:c r="D43" s="23" t="str">
        <x:v>SKU001</x:v>
      </x:c>
      <x:c r="E43" s="23" t="str">
        <x:v>Office Supplies</x:v>
      </x:c>
      <x:c r="F43" s="23" t="n">
        <x:v>0</x:v>
      </x:c>
      <x:c r="G43" s="23" t="n">
        <x:v>100</x:v>
      </x:c>
      <x:c r="H43" s="23" t="n">
        <x:v>86</x:v>
      </x:c>
      <x:c r="I43" s="23" t="n">
        <x:v>74</x:v>
      </x:c>
      <x:c r="J43" s="23" t="n">
        <x:v>0</x:v>
      </x:c>
      <x:c r="K43" s="23" t="n">
        <x:v>1</x:v>
      </x:c>
      <x:c r="L43" s="23" t="n">
        <x:v>1</x:v>
      </x:c>
    </x:row>
    <x:row r="44">
      <x:c r="A44" s="23" t="n">
        <x:v>43</x:v>
      </x:c>
      <x:c r="B44" s="23" t="str">
        <x:v>2026-04-27</x:v>
      </x:c>
      <x:c r="C44" s="23" t="str">
        <x:v>2026-04</x:v>
      </x:c>
      <x:c r="D44" s="23" t="str">
        <x:v>SKU001</x:v>
      </x:c>
      <x:c r="E44" s="23" t="str">
        <x:v>Office Supplies</x:v>
      </x:c>
      <x:c r="F44" s="23" t="n">
        <x:v>0</x:v>
      </x:c>
      <x:c r="G44" s="23" t="n">
        <x:v>100</x:v>
      </x:c>
      <x:c r="H44" s="23" t="n">
        <x:v>44</x:v>
      </x:c>
      <x:c r="I44" s="23" t="n">
        <x:v>0</x:v>
      </x:c>
      <x:c r="J44" s="23" t="n">
        <x:v>0</x:v>
      </x:c>
      <x:c r="K44" s="23" t="n">
        <x:v>1</x:v>
      </x:c>
      <x:c r="L44" s="23" t="n">
        <x:v>1</x:v>
      </x:c>
    </x:row>
    <x:row r="45">
      <x:c r="A45" s="23" t="n">
        <x:v>44</x:v>
      </x:c>
      <x:c r="B45" s="23" t="str">
        <x:v>2026-05-04</x:v>
      </x:c>
      <x:c r="C45" s="23" t="str">
        <x:v>2026-05</x:v>
      </x:c>
      <x:c r="D45" s="23" t="str">
        <x:v>SKU001</x:v>
      </x:c>
      <x:c r="E45" s="23" t="str">
        <x:v>Office Supplies</x:v>
      </x:c>
      <x:c r="F45" s="23" t="n">
        <x:v>0</x:v>
      </x:c>
      <x:c r="G45" s="23" t="n">
        <x:v>100</x:v>
      </x:c>
      <x:c r="H45" s="23" t="n">
        <x:v>97</x:v>
      </x:c>
      <x:c r="I45" s="23" t="n">
        <x:v>0</x:v>
      </x:c>
      <x:c r="J45" s="23" t="n">
        <x:v>0</x:v>
      </x:c>
      <x:c r="K45" s="23" t="n">
        <x:v>1</x:v>
      </x:c>
      <x:c r="L45" s="23" t="n">
        <x:v>1</x:v>
      </x:c>
    </x:row>
    <x:row r="46">
      <x:c r="A46" s="23" t="n">
        <x:v>45</x:v>
      </x:c>
      <x:c r="B46" s="23" t="str">
        <x:v>2026-05-11</x:v>
      </x:c>
      <x:c r="C46" s="23" t="str">
        <x:v>2026-05</x:v>
      </x:c>
      <x:c r="D46" s="23" t="str">
        <x:v>SKU001</x:v>
      </x:c>
      <x:c r="E46" s="23" t="str">
        <x:v>Office Supplies</x:v>
      </x:c>
      <x:c r="F46" s="23" t="n">
        <x:v>0</x:v>
      </x:c>
      <x:c r="G46" s="23" t="n">
        <x:v>100</x:v>
      </x:c>
      <x:c r="H46" s="23" t="n">
        <x:v>39</x:v>
      </x:c>
      <x:c r="I46" s="23" t="n">
        <x:v>0</x:v>
      </x:c>
      <x:c r="J46" s="23" t="n">
        <x:v>0</x:v>
      </x:c>
      <x:c r="K46" s="23" t="n">
        <x:v>1</x:v>
      </x:c>
      <x:c r="L46" s="23" t="n">
        <x:v>1</x:v>
      </x:c>
    </x:row>
    <x:row r="47">
      <x:c r="A47" s="23" t="n">
        <x:v>46</x:v>
      </x:c>
      <x:c r="B47" s="23" t="str">
        <x:v>2026-05-18</x:v>
      </x:c>
      <x:c r="C47" s="23" t="str">
        <x:v>2026-05</x:v>
      </x:c>
      <x:c r="D47" s="23" t="str">
        <x:v>SKU001</x:v>
      </x:c>
      <x:c r="E47" s="23" t="str">
        <x:v>Office Supplies</x:v>
      </x:c>
      <x:c r="F47" s="23" t="n">
        <x:v>0</x:v>
      </x:c>
      <x:c r="G47" s="23" t="n">
        <x:v>100</x:v>
      </x:c>
      <x:c r="H47" s="23" t="n">
        <x:v>45</x:v>
      </x:c>
      <x:c r="I47" s="23" t="n">
        <x:v>0</x:v>
      </x:c>
      <x:c r="J47" s="23" t="n">
        <x:v>0</x:v>
      </x:c>
      <x:c r="K47" s="23" t="n">
        <x:v>1</x:v>
      </x:c>
      <x:c r="L47" s="23" t="n">
        <x:v>1</x:v>
      </x:c>
    </x:row>
    <x:row r="48">
      <x:c r="A48" s="23" t="n">
        <x:v>47</x:v>
      </x:c>
      <x:c r="B48" s="23" t="str">
        <x:v>2026-05-25</x:v>
      </x:c>
      <x:c r="C48" s="23" t="str">
        <x:v>2026-05</x:v>
      </x:c>
      <x:c r="D48" s="23" t="str">
        <x:v>SKU001</x:v>
      </x:c>
      <x:c r="E48" s="23" t="str">
        <x:v>Office Supplies</x:v>
      </x:c>
      <x:c r="F48" s="23" t="n">
        <x:v>0</x:v>
      </x:c>
      <x:c r="G48" s="23" t="n">
        <x:v>100</x:v>
      </x:c>
      <x:c r="H48" s="23" t="n">
        <x:v>68</x:v>
      </x:c>
      <x:c r="I48" s="23" t="n">
        <x:v>0</x:v>
      </x:c>
      <x:c r="J48" s="23" t="n">
        <x:v>0</x:v>
      </x:c>
      <x:c r="K48" s="23" t="n">
        <x:v>1</x:v>
      </x:c>
      <x:c r="L48" s="23" t="n">
        <x:v>1</x:v>
      </x:c>
    </x:row>
    <x:row r="49">
      <x:c r="A49" s="23" t="n">
        <x:v>48</x:v>
      </x:c>
      <x:c r="B49" s="23" t="str">
        <x:v>2026-06-01</x:v>
      </x:c>
      <x:c r="C49" s="23" t="str">
        <x:v>2026-06</x:v>
      </x:c>
      <x:c r="D49" s="23" t="str">
        <x:v>SKU001</x:v>
      </x:c>
      <x:c r="E49" s="23" t="str">
        <x:v>Office Supplies</x:v>
      </x:c>
      <x:c r="F49" s="23" t="n">
        <x:v>0</x:v>
      </x:c>
      <x:c r="G49" s="23" t="n">
        <x:v>100</x:v>
      </x:c>
      <x:c r="H49" s="23" t="n">
        <x:v>53</x:v>
      </x:c>
      <x:c r="I49" s="23" t="n">
        <x:v>0</x:v>
      </x:c>
      <x:c r="J49" s="23" t="n">
        <x:v>0</x:v>
      </x:c>
      <x:c r="K49" s="23" t="n">
        <x:v>1</x:v>
      </x:c>
      <x:c r="L49" s="23" t="n">
        <x:v>1</x:v>
      </x:c>
    </x:row>
    <x:row r="50">
      <x:c r="A50" s="23" t="n">
        <x:v>49</x:v>
      </x:c>
      <x:c r="B50" s="23" t="str">
        <x:v>2026-06-08</x:v>
      </x:c>
      <x:c r="C50" s="23" t="str">
        <x:v>2026-06</x:v>
      </x:c>
      <x:c r="D50" s="23" t="str">
        <x:v>SKU001</x:v>
      </x:c>
      <x:c r="E50" s="23" t="str">
        <x:v>Office Supplies</x:v>
      </x:c>
      <x:c r="F50" s="23" t="n">
        <x:v>0</x:v>
      </x:c>
      <x:c r="G50" s="23" t="n">
        <x:v>100</x:v>
      </x:c>
      <x:c r="H50" s="23" t="n">
        <x:v>105</x:v>
      </x:c>
      <x:c r="I50" s="23" t="n">
        <x:v>93</x:v>
      </x:c>
      <x:c r="J50" s="23" t="n">
        <x:v>0</x:v>
      </x:c>
      <x:c r="K50" s="23" t="n">
        <x:v>1</x:v>
      </x:c>
      <x:c r="L50" s="23" t="n">
        <x:v>1</x:v>
      </x:c>
    </x:row>
    <x:row r="51">
      <x:c r="A51" s="23" t="n">
        <x:v>50</x:v>
      </x:c>
      <x:c r="B51" s="23" t="str">
        <x:v>2026-06-15</x:v>
      </x:c>
      <x:c r="C51" s="23" t="str">
        <x:v>2026-06</x:v>
      </x:c>
      <x:c r="D51" s="23" t="str">
        <x:v>SKU001</x:v>
      </x:c>
      <x:c r="E51" s="23" t="str">
        <x:v>Office Supplies</x:v>
      </x:c>
      <x:c r="F51" s="23" t="n">
        <x:v>40</x:v>
      </x:c>
      <x:c r="G51" s="23" t="n">
        <x:v>100</x:v>
      </x:c>
      <x:c r="H51" s="23" t="n">
        <x:v>105</x:v>
      </x:c>
      <x:c r="I51" s="23" t="n">
        <x:v>105</x:v>
      </x:c>
      <x:c r="J51" s="23" t="n">
        <x:v>76289.6</x:v>
      </x:c>
      <x:c r="K51" s="23" t="n">
        <x:v>1</x:v>
      </x:c>
      <x:c r="L51" s="23" t="n">
        <x:v>0</x:v>
      </x:c>
    </x:row>
    <x:row r="52">
      <x:c r="A52" s="23" t="n">
        <x:v>51</x:v>
      </x:c>
      <x:c r="B52" s="23" t="str">
        <x:v>2026-06-22</x:v>
      </x:c>
      <x:c r="C52" s="23" t="str">
        <x:v>2026-06</x:v>
      </x:c>
      <x:c r="D52" s="23" t="str">
        <x:v>SKU001</x:v>
      </x:c>
      <x:c r="E52" s="23" t="str">
        <x:v>Office Supplies</x:v>
      </x:c>
      <x:c r="F52" s="23" t="n">
        <x:v>101</x:v>
      </x:c>
      <x:c r="G52" s="23" t="n">
        <x:v>100</x:v>
      </x:c>
      <x:c r="H52" s="23" t="n">
        <x:v>103</x:v>
      </x:c>
      <x:c r="I52" s="23" t="n">
        <x:v>103</x:v>
      </x:c>
      <x:c r="J52" s="23" t="n">
        <x:v>192631.24</x:v>
      </x:c>
      <x:c r="K52" s="23" t="n">
        <x:v>0</x:v>
      </x:c>
      <x:c r="L52" s="23" t="n">
        <x:v>0</x:v>
      </x:c>
    </x:row>
    <x:row r="53">
      <x:c r="A53" s="23" t="n">
        <x:v>52</x:v>
      </x:c>
      <x:c r="B53" s="23" t="str">
        <x:v>2026-06-29</x:v>
      </x:c>
      <x:c r="C53" s="23" t="str">
        <x:v>2026-06</x:v>
      </x:c>
      <x:c r="D53" s="23" t="str">
        <x:v>SKU001</x:v>
      </x:c>
      <x:c r="E53" s="23" t="str">
        <x:v>Office Supplies</x:v>
      </x:c>
      <x:c r="F53" s="23" t="n">
        <x:v>66</x:v>
      </x:c>
      <x:c r="G53" s="23" t="n">
        <x:v>100</x:v>
      </x:c>
      <x:c r="H53" s="23" t="n">
        <x:v>35</x:v>
      </x:c>
      <x:c r="I53" s="23" t="n">
        <x:v>35</x:v>
      </x:c>
      <x:c r="J53" s="23" t="n">
        <x:v>125877.84</x:v>
      </x:c>
      <x:c r="K53" s="23" t="n">
        <x:v>1</x:v>
      </x:c>
      <x:c r="L53" s="23" t="n">
        <x:v>0</x:v>
      </x:c>
    </x:row>
    <x:row r="54">
      <x:c r="A54" s="23" t="n">
        <x:v>53</x:v>
      </x:c>
      <x:c r="B54" s="23" t="str">
        <x:v>2025-07-07</x:v>
      </x:c>
      <x:c r="C54" s="23" t="str">
        <x:v>2025-07</x:v>
      </x:c>
      <x:c r="D54" s="23" t="str">
        <x:v>SKU002</x:v>
      </x:c>
      <x:c r="E54" s="23" t="str">
        <x:v>Electronics</x:v>
      </x:c>
      <x:c r="F54" s="23" t="n">
        <x:v>106</x:v>
      </x:c>
      <x:c r="G54" s="23" t="n">
        <x:v>40</x:v>
      </x:c>
      <x:c r="H54" s="23" t="n">
        <x:v>29</x:v>
      </x:c>
      <x:c r="I54" s="23" t="n">
        <x:v>29</x:v>
      </x:c>
      <x:c r="J54" s="23" t="n">
        <x:v>322424.44</x:v>
      </x:c>
      <x:c r="K54" s="23" t="n">
        <x:v>0</x:v>
      </x:c>
      <x:c r="L54" s="23" t="n">
        <x:v>0</x:v>
      </x:c>
    </x:row>
    <x:row r="55">
      <x:c r="A55" s="23" t="n">
        <x:v>54</x:v>
      </x:c>
      <x:c r="B55" s="23" t="str">
        <x:v>2025-07-14</x:v>
      </x:c>
      <x:c r="C55" s="23" t="str">
        <x:v>2025-07</x:v>
      </x:c>
      <x:c r="D55" s="23" t="str">
        <x:v>SKU002</x:v>
      </x:c>
      <x:c r="E55" s="23" t="str">
        <x:v>Electronics</x:v>
      </x:c>
      <x:c r="F55" s="23" t="n">
        <x:v>200</x:v>
      </x:c>
      <x:c r="G55" s="23" t="n">
        <x:v>40</x:v>
      </x:c>
      <x:c r="H55" s="23" t="n">
        <x:v>50</x:v>
      </x:c>
      <x:c r="I55" s="23" t="n">
        <x:v>50</x:v>
      </x:c>
      <x:c r="J55" s="23" t="n">
        <x:v>608348</x:v>
      </x:c>
      <x:c r="K55" s="23" t="n">
        <x:v>0</x:v>
      </x:c>
      <x:c r="L55" s="23" t="n">
        <x:v>0</x:v>
      </x:c>
    </x:row>
    <x:row r="56">
      <x:c r="A56" s="23" t="n">
        <x:v>55</x:v>
      </x:c>
      <x:c r="B56" s="23" t="str">
        <x:v>2025-07-21</x:v>
      </x:c>
      <x:c r="C56" s="23" t="str">
        <x:v>2025-07</x:v>
      </x:c>
      <x:c r="D56" s="23" t="str">
        <x:v>SKU002</x:v>
      </x:c>
      <x:c r="E56" s="23" t="str">
        <x:v>Electronics</x:v>
      </x:c>
      <x:c r="F56" s="23" t="n">
        <x:v>286</x:v>
      </x:c>
      <x:c r="G56" s="23" t="n">
        <x:v>40</x:v>
      </x:c>
      <x:c r="H56" s="23" t="n">
        <x:v>80</x:v>
      </x:c>
      <x:c r="I56" s="23" t="n">
        <x:v>80</x:v>
      </x:c>
      <x:c r="J56" s="23" t="n">
        <x:v>869937.64</x:v>
      </x:c>
      <x:c r="K56" s="23" t="n">
        <x:v>0</x:v>
      </x:c>
      <x:c r="L56" s="23" t="n">
        <x:v>0</x:v>
      </x:c>
    </x:row>
    <x:row r="57">
      <x:c r="A57" s="23" t="n">
        <x:v>56</x:v>
      </x:c>
      <x:c r="B57" s="23" t="str">
        <x:v>2025-07-28</x:v>
      </x:c>
      <x:c r="C57" s="23" t="str">
        <x:v>2025-07</x:v>
      </x:c>
      <x:c r="D57" s="23" t="str">
        <x:v>SKU002</x:v>
      </x:c>
      <x:c r="E57" s="23" t="str">
        <x:v>Electronics</x:v>
      </x:c>
      <x:c r="F57" s="23" t="n">
        <x:v>262</x:v>
      </x:c>
      <x:c r="G57" s="23" t="n">
        <x:v>40</x:v>
      </x:c>
      <x:c r="H57" s="23" t="n">
        <x:v>24</x:v>
      </x:c>
      <x:c r="I57" s="23" t="n">
        <x:v>24</x:v>
      </x:c>
      <x:c r="J57" s="23" t="n">
        <x:v>796935.88</x:v>
      </x:c>
      <x:c r="K57" s="23" t="n">
        <x:v>0</x:v>
      </x:c>
      <x:c r="L57" s="23" t="n">
        <x:v>0</x:v>
      </x:c>
    </x:row>
    <x:row r="58">
      <x:c r="A58" s="23" t="n">
        <x:v>57</x:v>
      </x:c>
      <x:c r="B58" s="23" t="str">
        <x:v>2025-08-04</x:v>
      </x:c>
      <x:c r="C58" s="23" t="str">
        <x:v>2025-08</x:v>
      </x:c>
      <x:c r="D58" s="23" t="str">
        <x:v>SKU002</x:v>
      </x:c>
      <x:c r="E58" s="23" t="str">
        <x:v>Electronics</x:v>
      </x:c>
      <x:c r="F58" s="23" t="n">
        <x:v>177</x:v>
      </x:c>
      <x:c r="G58" s="23" t="n">
        <x:v>40</x:v>
      </x:c>
      <x:c r="H58" s="23" t="n">
        <x:v>85</x:v>
      </x:c>
      <x:c r="I58" s="23" t="n">
        <x:v>85</x:v>
      </x:c>
      <x:c r="J58" s="23" t="n">
        <x:v>538387.98</x:v>
      </x:c>
      <x:c r="K58" s="23" t="n">
        <x:v>0</x:v>
      </x:c>
      <x:c r="L58" s="23" t="n">
        <x:v>0</x:v>
      </x:c>
    </x:row>
    <x:row r="59">
      <x:c r="A59" s="23" t="n">
        <x:v>58</x:v>
      </x:c>
      <x:c r="B59" s="23" t="str">
        <x:v>2025-08-11</x:v>
      </x:c>
      <x:c r="C59" s="23" t="str">
        <x:v>2025-08</x:v>
      </x:c>
      <x:c r="D59" s="23" t="str">
        <x:v>SKU002</x:v>
      </x:c>
      <x:c r="E59" s="23" t="str">
        <x:v>Electronics</x:v>
      </x:c>
      <x:c r="F59" s="23" t="n">
        <x:v>194</x:v>
      </x:c>
      <x:c r="G59" s="23" t="n">
        <x:v>40</x:v>
      </x:c>
      <x:c r="H59" s="23" t="n">
        <x:v>102</x:v>
      </x:c>
      <x:c r="I59" s="23" t="n">
        <x:v>102</x:v>
      </x:c>
      <x:c r="J59" s="23" t="n">
        <x:v>590097.56</x:v>
      </x:c>
      <x:c r="K59" s="23" t="n">
        <x:v>0</x:v>
      </x:c>
      <x:c r="L59" s="23" t="n">
        <x:v>0</x:v>
      </x:c>
    </x:row>
    <x:row r="60">
      <x:c r="A60" s="23" t="n">
        <x:v>59</x:v>
      </x:c>
      <x:c r="B60" s="23" t="str">
        <x:v>2025-08-18</x:v>
      </x:c>
      <x:c r="C60" s="23" t="str">
        <x:v>2025-08</x:v>
      </x:c>
      <x:c r="D60" s="23" t="str">
        <x:v>SKU002</x:v>
      </x:c>
      <x:c r="E60" s="23" t="str">
        <x:v>Electronics</x:v>
      </x:c>
      <x:c r="F60" s="23" t="n">
        <x:v>150</x:v>
      </x:c>
      <x:c r="G60" s="23" t="n">
        <x:v>40</x:v>
      </x:c>
      <x:c r="H60" s="23" t="n">
        <x:v>44</x:v>
      </x:c>
      <x:c r="I60" s="23" t="n">
        <x:v>44</x:v>
      </x:c>
      <x:c r="J60" s="23" t="n">
        <x:v>456261</x:v>
      </x:c>
      <x:c r="K60" s="23" t="n">
        <x:v>0</x:v>
      </x:c>
      <x:c r="L60" s="23" t="n">
        <x:v>0</x:v>
      </x:c>
    </x:row>
    <x:row r="61">
      <x:c r="A61" s="23" t="n">
        <x:v>60</x:v>
      </x:c>
      <x:c r="B61" s="23" t="str">
        <x:v>2025-08-25</x:v>
      </x:c>
      <x:c r="C61" s="23" t="str">
        <x:v>2025-08</x:v>
      </x:c>
      <x:c r="D61" s="23" t="str">
        <x:v>SKU002</x:v>
      </x:c>
      <x:c r="E61" s="23" t="str">
        <x:v>Electronics</x:v>
      </x:c>
      <x:c r="F61" s="23" t="n">
        <x:v>115</x:v>
      </x:c>
      <x:c r="G61" s="23" t="n">
        <x:v>40</x:v>
      </x:c>
      <x:c r="H61" s="23" t="n">
        <x:v>35</x:v>
      </x:c>
      <x:c r="I61" s="23" t="n">
        <x:v>35</x:v>
      </x:c>
      <x:c r="J61" s="23" t="n">
        <x:v>349800.1</x:v>
      </x:c>
      <x:c r="K61" s="23" t="n">
        <x:v>0</x:v>
      </x:c>
      <x:c r="L61" s="23" t="n">
        <x:v>0</x:v>
      </x:c>
    </x:row>
    <x:row r="62">
      <x:c r="A62" s="23" t="n">
        <x:v>61</x:v>
      </x:c>
      <x:c r="B62" s="23" t="str">
        <x:v>2025-09-01</x:v>
      </x:c>
      <x:c r="C62" s="23" t="str">
        <x:v>2025-09</x:v>
      </x:c>
      <x:c r="D62" s="23" t="str">
        <x:v>SKU002</x:v>
      </x:c>
      <x:c r="E62" s="23" t="str">
        <x:v>Electronics</x:v>
      </x:c>
      <x:c r="F62" s="23" t="n">
        <x:v>62</x:v>
      </x:c>
      <x:c r="G62" s="23" t="n">
        <x:v>40</x:v>
      </x:c>
      <x:c r="H62" s="23" t="n">
        <x:v>53</x:v>
      </x:c>
      <x:c r="I62" s="23" t="n">
        <x:v>53</x:v>
      </x:c>
      <x:c r="J62" s="23" t="n">
        <x:v>188587.88</x:v>
      </x:c>
      <x:c r="K62" s="23" t="n">
        <x:v>0</x:v>
      </x:c>
      <x:c r="L62" s="23" t="n">
        <x:v>0</x:v>
      </x:c>
    </x:row>
    <x:row r="63">
      <x:c r="A63" s="23" t="n">
        <x:v>62</x:v>
      </x:c>
      <x:c r="B63" s="23" t="str">
        <x:v>2025-09-08</x:v>
      </x:c>
      <x:c r="C63" s="23" t="str">
        <x:v>2025-09</x:v>
      </x:c>
      <x:c r="D63" s="23" t="str">
        <x:v>SKU002</x:v>
      </x:c>
      <x:c r="E63" s="23" t="str">
        <x:v>Electronics</x:v>
      </x:c>
      <x:c r="F63" s="23" t="n">
        <x:v>136</x:v>
      </x:c>
      <x:c r="G63" s="23" t="n">
        <x:v>40</x:v>
      </x:c>
      <x:c r="H63" s="23" t="n">
        <x:v>36</x:v>
      </x:c>
      <x:c r="I63" s="23" t="n">
        <x:v>36</x:v>
      </x:c>
      <x:c r="J63" s="23" t="n">
        <x:v>413676.64</x:v>
      </x:c>
      <x:c r="K63" s="23" t="n">
        <x:v>0</x:v>
      </x:c>
      <x:c r="L63" s="23" t="n">
        <x:v>0</x:v>
      </x:c>
    </x:row>
    <x:row r="64">
      <x:c r="A64" s="23" t="n">
        <x:v>63</x:v>
      </x:c>
      <x:c r="B64" s="23" t="str">
        <x:v>2025-09-15</x:v>
      </x:c>
      <x:c r="C64" s="23" t="str">
        <x:v>2025-09</x:v>
      </x:c>
      <x:c r="D64" s="23" t="str">
        <x:v>SKU002</x:v>
      </x:c>
      <x:c r="E64" s="23" t="str">
        <x:v>Electronics</x:v>
      </x:c>
      <x:c r="F64" s="23" t="n">
        <x:v>98</x:v>
      </x:c>
      <x:c r="G64" s="23" t="n">
        <x:v>40</x:v>
      </x:c>
      <x:c r="H64" s="23" t="n">
        <x:v>97</x:v>
      </x:c>
      <x:c r="I64" s="23" t="n">
        <x:v>97</x:v>
      </x:c>
      <x:c r="J64" s="23" t="n">
        <x:v>298090.52</x:v>
      </x:c>
      <x:c r="K64" s="23" t="n">
        <x:v>0</x:v>
      </x:c>
      <x:c r="L64" s="23" t="n">
        <x:v>0</x:v>
      </x:c>
    </x:row>
    <x:row r="65">
      <x:c r="A65" s="23" t="n">
        <x:v>64</x:v>
      </x:c>
      <x:c r="B65" s="23" t="str">
        <x:v>2025-09-22</x:v>
      </x:c>
      <x:c r="C65" s="23" t="str">
        <x:v>2025-09</x:v>
      </x:c>
      <x:c r="D65" s="23" t="str">
        <x:v>SKU002</x:v>
      </x:c>
      <x:c r="E65" s="23" t="str">
        <x:v>Electronics</x:v>
      </x:c>
      <x:c r="F65" s="23" t="n">
        <x:v>153</x:v>
      </x:c>
      <x:c r="G65" s="23" t="n">
        <x:v>40</x:v>
      </x:c>
      <x:c r="H65" s="23" t="n">
        <x:v>91</x:v>
      </x:c>
      <x:c r="I65" s="23" t="n">
        <x:v>91</x:v>
      </x:c>
      <x:c r="J65" s="23" t="n">
        <x:v>465386.22</x:v>
      </x:c>
      <x:c r="K65" s="23" t="n">
        <x:v>0</x:v>
      </x:c>
      <x:c r="L65" s="23" t="n">
        <x:v>0</x:v>
      </x:c>
    </x:row>
    <x:row r="66">
      <x:c r="A66" s="23" t="n">
        <x:v>65</x:v>
      </x:c>
      <x:c r="B66" s="23" t="str">
        <x:v>2025-09-29</x:v>
      </x:c>
      <x:c r="C66" s="23" t="str">
        <x:v>2025-09</x:v>
      </x:c>
      <x:c r="D66" s="23" t="str">
        <x:v>SKU002</x:v>
      </x:c>
      <x:c r="E66" s="23" t="str">
        <x:v>Electronics</x:v>
      </x:c>
      <x:c r="F66" s="23" t="n">
        <x:v>106</x:v>
      </x:c>
      <x:c r="G66" s="23" t="n">
        <x:v>40</x:v>
      </x:c>
      <x:c r="H66" s="23" t="n">
        <x:v>100</x:v>
      </x:c>
      <x:c r="I66" s="23" t="n">
        <x:v>100</x:v>
      </x:c>
      <x:c r="J66" s="23" t="n">
        <x:v>322424.44</x:v>
      </x:c>
      <x:c r="K66" s="23" t="n">
        <x:v>0</x:v>
      </x:c>
      <x:c r="L66" s="23" t="n">
        <x:v>0</x:v>
      </x:c>
    </x:row>
    <x:row r="67">
      <x:c r="A67" s="23" t="n">
        <x:v>66</x:v>
      </x:c>
      <x:c r="B67" s="23" t="str">
        <x:v>2025-10-06</x:v>
      </x:c>
      <x:c r="C67" s="23" t="str">
        <x:v>2025-10</x:v>
      </x:c>
      <x:c r="D67" s="23" t="str">
        <x:v>SKU002</x:v>
      </x:c>
      <x:c r="E67" s="23" t="str">
        <x:v>Electronics</x:v>
      </x:c>
      <x:c r="F67" s="23" t="n">
        <x:v>246</x:v>
      </x:c>
      <x:c r="G67" s="23" t="n">
        <x:v>40</x:v>
      </x:c>
      <x:c r="H67" s="23" t="n">
        <x:v>26</x:v>
      </x:c>
      <x:c r="I67" s="23" t="n">
        <x:v>26</x:v>
      </x:c>
      <x:c r="J67" s="23" t="n">
        <x:v>748268.04</x:v>
      </x:c>
      <x:c r="K67" s="23" t="n">
        <x:v>0</x:v>
      </x:c>
      <x:c r="L67" s="23" t="n">
        <x:v>0</x:v>
      </x:c>
    </x:row>
    <x:row r="68">
      <x:c r="A68" s="23" t="n">
        <x:v>67</x:v>
      </x:c>
      <x:c r="B68" s="23" t="str">
        <x:v>2025-10-13</x:v>
      </x:c>
      <x:c r="C68" s="23" t="str">
        <x:v>2025-10</x:v>
      </x:c>
      <x:c r="D68" s="23" t="str">
        <x:v>SKU002</x:v>
      </x:c>
      <x:c r="E68" s="23" t="str">
        <x:v>Electronics</x:v>
      </x:c>
      <x:c r="F68" s="23" t="n">
        <x:v>365</x:v>
      </x:c>
      <x:c r="G68" s="23" t="n">
        <x:v>40</x:v>
      </x:c>
      <x:c r="H68" s="23" t="n">
        <x:v>29</x:v>
      </x:c>
      <x:c r="I68" s="23" t="n">
        <x:v>29</x:v>
      </x:c>
      <x:c r="J68" s="23" t="n">
        <x:v>1110235.1</x:v>
      </x:c>
      <x:c r="K68" s="23" t="n">
        <x:v>0</x:v>
      </x:c>
      <x:c r="L68" s="23" t="n">
        <x:v>0</x:v>
      </x:c>
    </x:row>
    <x:row r="69">
      <x:c r="A69" s="23" t="n">
        <x:v>68</x:v>
      </x:c>
      <x:c r="B69" s="23" t="str">
        <x:v>2025-10-20</x:v>
      </x:c>
      <x:c r="C69" s="23" t="str">
        <x:v>2025-10</x:v>
      </x:c>
      <x:c r="D69" s="23" t="str">
        <x:v>SKU002</x:v>
      </x:c>
      <x:c r="E69" s="23" t="str">
        <x:v>Electronics</x:v>
      </x:c>
      <x:c r="F69" s="23" t="n">
        <x:v>274</x:v>
      </x:c>
      <x:c r="G69" s="23" t="n">
        <x:v>40</x:v>
      </x:c>
      <x:c r="H69" s="23" t="n">
        <x:v>91</x:v>
      </x:c>
      <x:c r="I69" s="23" t="n">
        <x:v>91</x:v>
      </x:c>
      <x:c r="J69" s="23" t="n">
        <x:v>833436.76</x:v>
      </x:c>
      <x:c r="K69" s="23" t="n">
        <x:v>0</x:v>
      </x:c>
      <x:c r="L69" s="23" t="n">
        <x:v>0</x:v>
      </x:c>
    </x:row>
    <x:row r="70">
      <x:c r="A70" s="23" t="n">
        <x:v>69</x:v>
      </x:c>
      <x:c r="B70" s="23" t="str">
        <x:v>2025-10-27</x:v>
      </x:c>
      <x:c r="C70" s="23" t="str">
        <x:v>2025-10</x:v>
      </x:c>
      <x:c r="D70" s="23" t="str">
        <x:v>SKU002</x:v>
      </x:c>
      <x:c r="E70" s="23" t="str">
        <x:v>Electronics</x:v>
      </x:c>
      <x:c r="F70" s="23" t="n">
        <x:v>213</x:v>
      </x:c>
      <x:c r="G70" s="23" t="n">
        <x:v>40</x:v>
      </x:c>
      <x:c r="H70" s="23" t="n">
        <x:v>61</x:v>
      </x:c>
      <x:c r="I70" s="23" t="n">
        <x:v>61</x:v>
      </x:c>
      <x:c r="J70" s="23" t="n">
        <x:v>647890.62</x:v>
      </x:c>
      <x:c r="K70" s="23" t="n">
        <x:v>0</x:v>
      </x:c>
      <x:c r="L70" s="23" t="n">
        <x:v>0</x:v>
      </x:c>
    </x:row>
    <x:row r="71">
      <x:c r="A71" s="23" t="n">
        <x:v>70</x:v>
      </x:c>
      <x:c r="B71" s="23" t="str">
        <x:v>2025-11-03</x:v>
      </x:c>
      <x:c r="C71" s="23" t="str">
        <x:v>2025-11</x:v>
      </x:c>
      <x:c r="D71" s="23" t="str">
        <x:v>SKU002</x:v>
      </x:c>
      <x:c r="E71" s="23" t="str">
        <x:v>Electronics</x:v>
      </x:c>
      <x:c r="F71" s="23" t="n">
        <x:v>146</x:v>
      </x:c>
      <x:c r="G71" s="23" t="n">
        <x:v>40</x:v>
      </x:c>
      <x:c r="H71" s="23" t="n">
        <x:v>67</x:v>
      </x:c>
      <x:c r="I71" s="23" t="n">
        <x:v>67</x:v>
      </x:c>
      <x:c r="J71" s="23" t="n">
        <x:v>444094.04</x:v>
      </x:c>
      <x:c r="K71" s="23" t="n">
        <x:v>0</x:v>
      </x:c>
      <x:c r="L71" s="23" t="n">
        <x:v>0</x:v>
      </x:c>
    </x:row>
    <x:row r="72">
      <x:c r="A72" s="23" t="n">
        <x:v>71</x:v>
      </x:c>
      <x:c r="B72" s="23" t="str">
        <x:v>2025-11-10</x:v>
      </x:c>
      <x:c r="C72" s="23" t="str">
        <x:v>2025-11</x:v>
      </x:c>
      <x:c r="D72" s="23" t="str">
        <x:v>SKU002</x:v>
      </x:c>
      <x:c r="E72" s="23" t="str">
        <x:v>Electronics</x:v>
      </x:c>
      <x:c r="F72" s="23" t="n">
        <x:v>110</x:v>
      </x:c>
      <x:c r="G72" s="23" t="n">
        <x:v>40</x:v>
      </x:c>
      <x:c r="H72" s="23" t="n">
        <x:v>36</x:v>
      </x:c>
      <x:c r="I72" s="23" t="n">
        <x:v>36</x:v>
      </x:c>
      <x:c r="J72" s="23" t="n">
        <x:v>334591.4</x:v>
      </x:c>
      <x:c r="K72" s="23" t="n">
        <x:v>0</x:v>
      </x:c>
      <x:c r="L72" s="23" t="n">
        <x:v>0</x:v>
      </x:c>
    </x:row>
    <x:row r="73">
      <x:c r="A73" s="23" t="n">
        <x:v>72</x:v>
      </x:c>
      <x:c r="B73" s="23" t="str">
        <x:v>2025-11-17</x:v>
      </x:c>
      <x:c r="C73" s="23" t="str">
        <x:v>2025-11</x:v>
      </x:c>
      <x:c r="D73" s="23" t="str">
        <x:v>SKU002</x:v>
      </x:c>
      <x:c r="E73" s="23" t="str">
        <x:v>Electronics</x:v>
      </x:c>
      <x:c r="F73" s="23" t="n">
        <x:v>135</x:v>
      </x:c>
      <x:c r="G73" s="23" t="n">
        <x:v>40</x:v>
      </x:c>
      <x:c r="H73" s="23" t="n">
        <x:v>50</x:v>
      </x:c>
      <x:c r="I73" s="23" t="n">
        <x:v>50</x:v>
      </x:c>
      <x:c r="J73" s="23" t="n">
        <x:v>410634.9</x:v>
      </x:c>
      <x:c r="K73" s="23" t="n">
        <x:v>0</x:v>
      </x:c>
      <x:c r="L73" s="23" t="n">
        <x:v>0</x:v>
      </x:c>
    </x:row>
    <x:row r="74">
      <x:c r="A74" s="23" t="n">
        <x:v>73</x:v>
      </x:c>
      <x:c r="B74" s="23" t="str">
        <x:v>2025-11-24</x:v>
      </x:c>
      <x:c r="C74" s="23" t="str">
        <x:v>2025-11</x:v>
      </x:c>
      <x:c r="D74" s="23" t="str">
        <x:v>SKU002</x:v>
      </x:c>
      <x:c r="E74" s="23" t="str">
        <x:v>Electronics</x:v>
      </x:c>
      <x:c r="F74" s="23" t="n">
        <x:v>257</x:v>
      </x:c>
      <x:c r="G74" s="23" t="n">
        <x:v>40</x:v>
      </x:c>
      <x:c r="H74" s="23" t="n">
        <x:v>31</x:v>
      </x:c>
      <x:c r="I74" s="23" t="n">
        <x:v>31</x:v>
      </x:c>
      <x:c r="J74" s="23" t="n">
        <x:v>781727.18</x:v>
      </x:c>
      <x:c r="K74" s="23" t="n">
        <x:v>0</x:v>
      </x:c>
      <x:c r="L74" s="23" t="n">
        <x:v>0</x:v>
      </x:c>
    </x:row>
    <x:row r="75">
      <x:c r="A75" s="23" t="n">
        <x:v>74</x:v>
      </x:c>
      <x:c r="B75" s="23" t="str">
        <x:v>2025-12-01</x:v>
      </x:c>
      <x:c r="C75" s="23" t="str">
        <x:v>2025-12</x:v>
      </x:c>
      <x:c r="D75" s="23" t="str">
        <x:v>SKU002</x:v>
      </x:c>
      <x:c r="E75" s="23" t="str">
        <x:v>Electronics</x:v>
      </x:c>
      <x:c r="F75" s="23" t="n">
        <x:v>162</x:v>
      </x:c>
      <x:c r="G75" s="23" t="n">
        <x:v>40</x:v>
      </x:c>
      <x:c r="H75" s="23" t="n">
        <x:v>95</x:v>
      </x:c>
      <x:c r="I75" s="23" t="n">
        <x:v>95</x:v>
      </x:c>
      <x:c r="J75" s="23" t="n">
        <x:v>492761.88</x:v>
      </x:c>
      <x:c r="K75" s="23" t="n">
        <x:v>0</x:v>
      </x:c>
      <x:c r="L75" s="23" t="n">
        <x:v>0</x:v>
      </x:c>
    </x:row>
    <x:row r="76">
      <x:c r="A76" s="23" t="n">
        <x:v>75</x:v>
      </x:c>
      <x:c r="B76" s="23" t="str">
        <x:v>2025-12-08</x:v>
      </x:c>
      <x:c r="C76" s="23" t="str">
        <x:v>2025-12</x:v>
      </x:c>
      <x:c r="D76" s="23" t="str">
        <x:v>SKU002</x:v>
      </x:c>
      <x:c r="E76" s="23" t="str">
        <x:v>Electronics</x:v>
      </x:c>
      <x:c r="F76" s="23" t="n">
        <x:v>126</x:v>
      </x:c>
      <x:c r="G76" s="23" t="n">
        <x:v>40</x:v>
      </x:c>
      <x:c r="H76" s="23" t="n">
        <x:v>36</x:v>
      </x:c>
      <x:c r="I76" s="23" t="n">
        <x:v>36</x:v>
      </x:c>
      <x:c r="J76" s="23" t="n">
        <x:v>383259.24</x:v>
      </x:c>
      <x:c r="K76" s="23" t="n">
        <x:v>0</x:v>
      </x:c>
      <x:c r="L76" s="23" t="n">
        <x:v>0</x:v>
      </x:c>
    </x:row>
    <x:row r="77">
      <x:c r="A77" s="23" t="n">
        <x:v>76</x:v>
      </x:c>
      <x:c r="B77" s="23" t="str">
        <x:v>2025-12-15</x:v>
      </x:c>
      <x:c r="C77" s="23" t="str">
        <x:v>2025-12</x:v>
      </x:c>
      <x:c r="D77" s="23" t="str">
        <x:v>SKU002</x:v>
      </x:c>
      <x:c r="E77" s="23" t="str">
        <x:v>Electronics</x:v>
      </x:c>
      <x:c r="F77" s="23" t="n">
        <x:v>193</x:v>
      </x:c>
      <x:c r="G77" s="23" t="n">
        <x:v>40</x:v>
      </x:c>
      <x:c r="H77" s="23" t="n">
        <x:v>67</x:v>
      </x:c>
      <x:c r="I77" s="23" t="n">
        <x:v>67</x:v>
      </x:c>
      <x:c r="J77" s="23" t="n">
        <x:v>587055.82</x:v>
      </x:c>
      <x:c r="K77" s="23" t="n">
        <x:v>0</x:v>
      </x:c>
      <x:c r="L77" s="23" t="n">
        <x:v>0</x:v>
      </x:c>
    </x:row>
    <x:row r="78">
      <x:c r="A78" s="23" t="n">
        <x:v>77</x:v>
      </x:c>
      <x:c r="B78" s="23" t="str">
        <x:v>2025-12-22</x:v>
      </x:c>
      <x:c r="C78" s="23" t="str">
        <x:v>2025-12</x:v>
      </x:c>
      <x:c r="D78" s="23" t="str">
        <x:v>SKU002</x:v>
      </x:c>
      <x:c r="E78" s="23" t="str">
        <x:v>Electronics</x:v>
      </x:c>
      <x:c r="F78" s="23" t="n">
        <x:v>155</x:v>
      </x:c>
      <x:c r="G78" s="23" t="n">
        <x:v>40</x:v>
      </x:c>
      <x:c r="H78" s="23" t="n">
        <x:v>38</x:v>
      </x:c>
      <x:c r="I78" s="23" t="n">
        <x:v>38</x:v>
      </x:c>
      <x:c r="J78" s="23" t="n">
        <x:v>471469.7</x:v>
      </x:c>
      <x:c r="K78" s="23" t="n">
        <x:v>0</x:v>
      </x:c>
      <x:c r="L78" s="23" t="n">
        <x:v>0</x:v>
      </x:c>
    </x:row>
    <x:row r="79">
      <x:c r="A79" s="23" t="n">
        <x:v>78</x:v>
      </x:c>
      <x:c r="B79" s="23" t="str">
        <x:v>2025-12-29</x:v>
      </x:c>
      <x:c r="C79" s="23" t="str">
        <x:v>2025-12</x:v>
      </x:c>
      <x:c r="D79" s="23" t="str">
        <x:v>SKU002</x:v>
      </x:c>
      <x:c r="E79" s="23" t="str">
        <x:v>Electronics</x:v>
      </x:c>
      <x:c r="F79" s="23" t="n">
        <x:v>130</x:v>
      </x:c>
      <x:c r="G79" s="23" t="n">
        <x:v>40</x:v>
      </x:c>
      <x:c r="H79" s="23" t="n">
        <x:v>25</x:v>
      </x:c>
      <x:c r="I79" s="23" t="n">
        <x:v>25</x:v>
      </x:c>
      <x:c r="J79" s="23" t="n">
        <x:v>395426.2</x:v>
      </x:c>
      <x:c r="K79" s="23" t="n">
        <x:v>0</x:v>
      </x:c>
      <x:c r="L79" s="23" t="n">
        <x:v>0</x:v>
      </x:c>
    </x:row>
    <x:row r="80">
      <x:c r="A80" s="23" t="n">
        <x:v>79</x:v>
      </x:c>
      <x:c r="B80" s="23" t="str">
        <x:v>2026-01-05</x:v>
      </x:c>
      <x:c r="C80" s="23" t="str">
        <x:v>2026-01</x:v>
      </x:c>
      <x:c r="D80" s="23" t="str">
        <x:v>SKU002</x:v>
      </x:c>
      <x:c r="E80" s="23" t="str">
        <x:v>Electronics</x:v>
      </x:c>
      <x:c r="F80" s="23" t="n">
        <x:v>207</x:v>
      </x:c>
      <x:c r="G80" s="23" t="n">
        <x:v>40</x:v>
      </x:c>
      <x:c r="H80" s="23" t="n">
        <x:v>54</x:v>
      </x:c>
      <x:c r="I80" s="23" t="n">
        <x:v>54</x:v>
      </x:c>
      <x:c r="J80" s="23" t="n">
        <x:v>629640.18</x:v>
      </x:c>
      <x:c r="K80" s="23" t="n">
        <x:v>0</x:v>
      </x:c>
      <x:c r="L80" s="23" t="n">
        <x:v>0</x:v>
      </x:c>
    </x:row>
    <x:row r="81">
      <x:c r="A81" s="23" t="n">
        <x:v>80</x:v>
      </x:c>
      <x:c r="B81" s="23" t="str">
        <x:v>2026-01-12</x:v>
      </x:c>
      <x:c r="C81" s="23" t="str">
        <x:v>2026-01</x:v>
      </x:c>
      <x:c r="D81" s="23" t="str">
        <x:v>SKU002</x:v>
      </x:c>
      <x:c r="E81" s="23" t="str">
        <x:v>Electronics</x:v>
      </x:c>
      <x:c r="F81" s="23" t="n">
        <x:v>103</x:v>
      </x:c>
      <x:c r="G81" s="23" t="n">
        <x:v>40</x:v>
      </x:c>
      <x:c r="H81" s="23" t="n">
        <x:v>104</x:v>
      </x:c>
      <x:c r="I81" s="23" t="n">
        <x:v>104</x:v>
      </x:c>
      <x:c r="J81" s="23" t="n">
        <x:v>313299.22</x:v>
      </x:c>
      <x:c r="K81" s="23" t="n">
        <x:v>0</x:v>
      </x:c>
      <x:c r="L81" s="23" t="n">
        <x:v>0</x:v>
      </x:c>
    </x:row>
    <x:row r="82">
      <x:c r="A82" s="23" t="n">
        <x:v>81</x:v>
      </x:c>
      <x:c r="B82" s="23" t="str">
        <x:v>2026-01-19</x:v>
      </x:c>
      <x:c r="C82" s="23" t="str">
        <x:v>2026-01</x:v>
      </x:c>
      <x:c r="D82" s="23" t="str">
        <x:v>SKU002</x:v>
      </x:c>
      <x:c r="E82" s="23" t="str">
        <x:v>Electronics</x:v>
      </x:c>
      <x:c r="F82" s="23" t="n">
        <x:v>71</x:v>
      </x:c>
      <x:c r="G82" s="23" t="n">
        <x:v>40</x:v>
      </x:c>
      <x:c r="H82" s="23" t="n">
        <x:v>32</x:v>
      </x:c>
      <x:c r="I82" s="23" t="n">
        <x:v>32</x:v>
      </x:c>
      <x:c r="J82" s="23" t="n">
        <x:v>215963.54</x:v>
      </x:c>
      <x:c r="K82" s="23" t="n">
        <x:v>0</x:v>
      </x:c>
      <x:c r="L82" s="23" t="n">
        <x:v>0</x:v>
      </x:c>
    </x:row>
    <x:row r="83">
      <x:c r="A83" s="23" t="n">
        <x:v>82</x:v>
      </x:c>
      <x:c r="B83" s="23" t="str">
        <x:v>2026-01-26</x:v>
      </x:c>
      <x:c r="C83" s="23" t="str">
        <x:v>2026-01</x:v>
      </x:c>
      <x:c r="D83" s="23" t="str">
        <x:v>SKU002</x:v>
      </x:c>
      <x:c r="E83" s="23" t="str">
        <x:v>Electronics</x:v>
      </x:c>
      <x:c r="F83" s="23" t="n">
        <x:v>93</x:v>
      </x:c>
      <x:c r="G83" s="23" t="n">
        <x:v>40</x:v>
      </x:c>
      <x:c r="H83" s="23" t="n">
        <x:v>39</x:v>
      </x:c>
      <x:c r="I83" s="23" t="n">
        <x:v>39</x:v>
      </x:c>
      <x:c r="J83" s="23" t="n">
        <x:v>282881.82</x:v>
      </x:c>
      <x:c r="K83" s="23" t="n">
        <x:v>0</x:v>
      </x:c>
      <x:c r="L83" s="23" t="n">
        <x:v>0</x:v>
      </x:c>
    </x:row>
    <x:row r="84">
      <x:c r="A84" s="23" t="n">
        <x:v>83</x:v>
      </x:c>
      <x:c r="B84" s="23" t="str">
        <x:v>2026-02-02</x:v>
      </x:c>
      <x:c r="C84" s="23" t="str">
        <x:v>2026-02</x:v>
      </x:c>
      <x:c r="D84" s="23" t="str">
        <x:v>SKU002</x:v>
      </x:c>
      <x:c r="E84" s="23" t="str">
        <x:v>Electronics</x:v>
      </x:c>
      <x:c r="F84" s="23" t="n">
        <x:v>167</x:v>
      </x:c>
      <x:c r="G84" s="23" t="n">
        <x:v>40</x:v>
      </x:c>
      <x:c r="H84" s="23" t="n">
        <x:v>64</x:v>
      </x:c>
      <x:c r="I84" s="23" t="n">
        <x:v>64</x:v>
      </x:c>
      <x:c r="J84" s="23" t="n">
        <x:v>507970.58</x:v>
      </x:c>
      <x:c r="K84" s="23" t="n">
        <x:v>0</x:v>
      </x:c>
      <x:c r="L84" s="23" t="n">
        <x:v>0</x:v>
      </x:c>
    </x:row>
    <x:row r="85">
      <x:c r="A85" s="23" t="n">
        <x:v>84</x:v>
      </x:c>
      <x:c r="B85" s="23" t="str">
        <x:v>2026-02-09</x:v>
      </x:c>
      <x:c r="C85" s="23" t="str">
        <x:v>2026-02</x:v>
      </x:c>
      <x:c r="D85" s="23" t="str">
        <x:v>SKU002</x:v>
      </x:c>
      <x:c r="E85" s="23" t="str">
        <x:v>Electronics</x:v>
      </x:c>
      <x:c r="F85" s="23" t="n">
        <x:v>137</x:v>
      </x:c>
      <x:c r="G85" s="23" t="n">
        <x:v>40</x:v>
      </x:c>
      <x:c r="H85" s="23" t="n">
        <x:v>30</x:v>
      </x:c>
      <x:c r="I85" s="23" t="n">
        <x:v>30</x:v>
      </x:c>
      <x:c r="J85" s="23" t="n">
        <x:v>416718.38</x:v>
      </x:c>
      <x:c r="K85" s="23" t="n">
        <x:v>0</x:v>
      </x:c>
      <x:c r="L85" s="23" t="n">
        <x:v>0</x:v>
      </x:c>
    </x:row>
    <x:row r="86">
      <x:c r="A86" s="23" t="n">
        <x:v>85</x:v>
      </x:c>
      <x:c r="B86" s="23" t="str">
        <x:v>2026-02-16</x:v>
      </x:c>
      <x:c r="C86" s="23" t="str">
        <x:v>2026-02</x:v>
      </x:c>
      <x:c r="D86" s="23" t="str">
        <x:v>SKU002</x:v>
      </x:c>
      <x:c r="E86" s="23" t="str">
        <x:v>Electronics</x:v>
      </x:c>
      <x:c r="F86" s="23" t="n">
        <x:v>37</x:v>
      </x:c>
      <x:c r="G86" s="23" t="n">
        <x:v>40</x:v>
      </x:c>
      <x:c r="H86" s="23" t="n">
        <x:v>100</x:v>
      </x:c>
      <x:c r="I86" s="23" t="n">
        <x:v>100</x:v>
      </x:c>
      <x:c r="J86" s="23" t="n">
        <x:v>112544.38</x:v>
      </x:c>
      <x:c r="K86" s="23" t="n">
        <x:v>1</x:v>
      </x:c>
      <x:c r="L86" s="23" t="n">
        <x:v>0</x:v>
      </x:c>
    </x:row>
    <x:row r="87">
      <x:c r="A87" s="23" t="n">
        <x:v>86</x:v>
      </x:c>
      <x:c r="B87" s="23" t="str">
        <x:v>2026-02-23</x:v>
      </x:c>
      <x:c r="C87" s="23" t="str">
        <x:v>2026-02</x:v>
      </x:c>
      <x:c r="D87" s="23" t="str">
        <x:v>SKU002</x:v>
      </x:c>
      <x:c r="E87" s="23" t="str">
        <x:v>Electronics</x:v>
      </x:c>
      <x:c r="F87" s="23" t="n">
        <x:v>0</x:v>
      </x:c>
      <x:c r="G87" s="23" t="n">
        <x:v>40</x:v>
      </x:c>
      <x:c r="H87" s="23" t="n">
        <x:v>104</x:v>
      </x:c>
      <x:c r="I87" s="23" t="n">
        <x:v>37</x:v>
      </x:c>
      <x:c r="J87" s="23" t="n">
        <x:v>0</x:v>
      </x:c>
      <x:c r="K87" s="23" t="n">
        <x:v>1</x:v>
      </x:c>
      <x:c r="L87" s="23" t="n">
        <x:v>1</x:v>
      </x:c>
    </x:row>
    <x:row r="88">
      <x:c r="A88" s="23" t="n">
        <x:v>87</x:v>
      </x:c>
      <x:c r="B88" s="23" t="str">
        <x:v>2026-03-02</x:v>
      </x:c>
      <x:c r="C88" s="23" t="str">
        <x:v>2026-03</x:v>
      </x:c>
      <x:c r="D88" s="23" t="str">
        <x:v>SKU002</x:v>
      </x:c>
      <x:c r="E88" s="23" t="str">
        <x:v>Electronics</x:v>
      </x:c>
      <x:c r="F88" s="23" t="n">
        <x:v>0</x:v>
      </x:c>
      <x:c r="G88" s="23" t="n">
        <x:v>40</x:v>
      </x:c>
      <x:c r="H88" s="23" t="n">
        <x:v>85</x:v>
      </x:c>
      <x:c r="I88" s="23" t="n">
        <x:v>0</x:v>
      </x:c>
      <x:c r="J88" s="23" t="n">
        <x:v>0</x:v>
      </x:c>
      <x:c r="K88" s="23" t="n">
        <x:v>1</x:v>
      </x:c>
      <x:c r="L88" s="23" t="n">
        <x:v>1</x:v>
      </x:c>
    </x:row>
    <x:row r="89">
      <x:c r="A89" s="23" t="n">
        <x:v>88</x:v>
      </x:c>
      <x:c r="B89" s="23" t="str">
        <x:v>2026-03-09</x:v>
      </x:c>
      <x:c r="C89" s="23" t="str">
        <x:v>2026-03</x:v>
      </x:c>
      <x:c r="D89" s="23" t="str">
        <x:v>SKU002</x:v>
      </x:c>
      <x:c r="E89" s="23" t="str">
        <x:v>Electronics</x:v>
      </x:c>
      <x:c r="F89" s="23" t="n">
        <x:v>0</x:v>
      </x:c>
      <x:c r="G89" s="23" t="n">
        <x:v>40</x:v>
      </x:c>
      <x:c r="H89" s="23" t="n">
        <x:v>74</x:v>
      </x:c>
      <x:c r="I89" s="23" t="n">
        <x:v>0</x:v>
      </x:c>
      <x:c r="J89" s="23" t="n">
        <x:v>0</x:v>
      </x:c>
      <x:c r="K89" s="23" t="n">
        <x:v>1</x:v>
      </x:c>
      <x:c r="L89" s="23" t="n">
        <x:v>1</x:v>
      </x:c>
    </x:row>
    <x:row r="90">
      <x:c r="A90" s="23" t="n">
        <x:v>89</x:v>
      </x:c>
      <x:c r="B90" s="23" t="str">
        <x:v>2026-03-16</x:v>
      </x:c>
      <x:c r="C90" s="23" t="str">
        <x:v>2026-03</x:v>
      </x:c>
      <x:c r="D90" s="23" t="str">
        <x:v>SKU002</x:v>
      </x:c>
      <x:c r="E90" s="23" t="str">
        <x:v>Electronics</x:v>
      </x:c>
      <x:c r="F90" s="23" t="n">
        <x:v>0</x:v>
      </x:c>
      <x:c r="G90" s="23" t="n">
        <x:v>40</x:v>
      </x:c>
      <x:c r="H90" s="23" t="n">
        <x:v>103</x:v>
      </x:c>
      <x:c r="I90" s="23" t="n">
        <x:v>0</x:v>
      </x:c>
      <x:c r="J90" s="23" t="n">
        <x:v>0</x:v>
      </x:c>
      <x:c r="K90" s="23" t="n">
        <x:v>1</x:v>
      </x:c>
      <x:c r="L90" s="23" t="n">
        <x:v>1</x:v>
      </x:c>
    </x:row>
    <x:row r="91">
      <x:c r="A91" s="23" t="n">
        <x:v>90</x:v>
      </x:c>
      <x:c r="B91" s="23" t="str">
        <x:v>2026-03-23</x:v>
      </x:c>
      <x:c r="C91" s="23" t="str">
        <x:v>2026-03</x:v>
      </x:c>
      <x:c r="D91" s="23" t="str">
        <x:v>SKU002</x:v>
      </x:c>
      <x:c r="E91" s="23" t="str">
        <x:v>Electronics</x:v>
      </x:c>
      <x:c r="F91" s="23" t="n">
        <x:v>69</x:v>
      </x:c>
      <x:c r="G91" s="23" t="n">
        <x:v>40</x:v>
      </x:c>
      <x:c r="H91" s="23" t="n">
        <x:v>98</x:v>
      </x:c>
      <x:c r="I91" s="23" t="n">
        <x:v>98</x:v>
      </x:c>
      <x:c r="J91" s="23" t="n">
        <x:v>209880.06</x:v>
      </x:c>
      <x:c r="K91" s="23" t="n">
        <x:v>0</x:v>
      </x:c>
      <x:c r="L91" s="23" t="n">
        <x:v>0</x:v>
      </x:c>
    </x:row>
    <x:row r="92">
      <x:c r="A92" s="23" t="n">
        <x:v>91</x:v>
      </x:c>
      <x:c r="B92" s="23" t="str">
        <x:v>2026-03-30</x:v>
      </x:c>
      <x:c r="C92" s="23" t="str">
        <x:v>2026-03</x:v>
      </x:c>
      <x:c r="D92" s="23" t="str">
        <x:v>SKU002</x:v>
      </x:c>
      <x:c r="E92" s="23" t="str">
        <x:v>Electronics</x:v>
      </x:c>
      <x:c r="F92" s="23" t="n">
        <x:v>0</x:v>
      </x:c>
      <x:c r="G92" s="23" t="n">
        <x:v>40</x:v>
      </x:c>
      <x:c r="H92" s="23" t="n">
        <x:v>70</x:v>
      </x:c>
      <x:c r="I92" s="23" t="n">
        <x:v>69</x:v>
      </x:c>
      <x:c r="J92" s="23" t="n">
        <x:v>0</x:v>
      </x:c>
      <x:c r="K92" s="23" t="n">
        <x:v>1</x:v>
      </x:c>
      <x:c r="L92" s="23" t="n">
        <x:v>1</x:v>
      </x:c>
    </x:row>
    <x:row r="93">
      <x:c r="A93" s="23" t="n">
        <x:v>92</x:v>
      </x:c>
      <x:c r="B93" s="23" t="str">
        <x:v>2026-04-06</x:v>
      </x:c>
      <x:c r="C93" s="23" t="str">
        <x:v>2026-04</x:v>
      </x:c>
      <x:c r="D93" s="23" t="str">
        <x:v>SKU002</x:v>
      </x:c>
      <x:c r="E93" s="23" t="str">
        <x:v>Electronics</x:v>
      </x:c>
      <x:c r="F93" s="23" t="n">
        <x:v>0</x:v>
      </x:c>
      <x:c r="G93" s="23" t="n">
        <x:v>40</x:v>
      </x:c>
      <x:c r="H93" s="23" t="n">
        <x:v>19</x:v>
      </x:c>
      <x:c r="I93" s="23" t="n">
        <x:v>0</x:v>
      </x:c>
      <x:c r="J93" s="23" t="n">
        <x:v>0</x:v>
      </x:c>
      <x:c r="K93" s="23" t="n">
        <x:v>1</x:v>
      </x:c>
      <x:c r="L93" s="23" t="n">
        <x:v>1</x:v>
      </x:c>
    </x:row>
    <x:row r="94">
      <x:c r="A94" s="23" t="n">
        <x:v>93</x:v>
      </x:c>
      <x:c r="B94" s="23" t="str">
        <x:v>2026-04-13</x:v>
      </x:c>
      <x:c r="C94" s="23" t="str">
        <x:v>2026-04</x:v>
      </x:c>
      <x:c r="D94" s="23" t="str">
        <x:v>SKU002</x:v>
      </x:c>
      <x:c r="E94" s="23" t="str">
        <x:v>Electronics</x:v>
      </x:c>
      <x:c r="F94" s="23" t="n">
        <x:v>52</x:v>
      </x:c>
      <x:c r="G94" s="23" t="n">
        <x:v>40</x:v>
      </x:c>
      <x:c r="H94" s="23" t="n">
        <x:v>32</x:v>
      </x:c>
      <x:c r="I94" s="23" t="n">
        <x:v>32</x:v>
      </x:c>
      <x:c r="J94" s="23" t="n">
        <x:v>158170.48</x:v>
      </x:c>
      <x:c r="K94" s="23" t="n">
        <x:v>0</x:v>
      </x:c>
      <x:c r="L94" s="23" t="n">
        <x:v>0</x:v>
      </x:c>
    </x:row>
    <x:row r="95">
      <x:c r="A95" s="23" t="n">
        <x:v>94</x:v>
      </x:c>
      <x:c r="B95" s="23" t="str">
        <x:v>2026-04-20</x:v>
      </x:c>
      <x:c r="C95" s="23" t="str">
        <x:v>2026-04</x:v>
      </x:c>
      <x:c r="D95" s="23" t="str">
        <x:v>SKU002</x:v>
      </x:c>
      <x:c r="E95" s="23" t="str">
        <x:v>Electronics</x:v>
      </x:c>
      <x:c r="F95" s="23" t="n">
        <x:v>0</x:v>
      </x:c>
      <x:c r="G95" s="23" t="n">
        <x:v>40</x:v>
      </x:c>
      <x:c r="H95" s="23" t="n">
        <x:v>78</x:v>
      </x:c>
      <x:c r="I95" s="23" t="n">
        <x:v>52</x:v>
      </x:c>
      <x:c r="J95" s="23" t="n">
        <x:v>0</x:v>
      </x:c>
      <x:c r="K95" s="23" t="n">
        <x:v>1</x:v>
      </x:c>
      <x:c r="L95" s="23" t="n">
        <x:v>1</x:v>
      </x:c>
    </x:row>
    <x:row r="96">
      <x:c r="A96" s="23" t="n">
        <x:v>95</x:v>
      </x:c>
      <x:c r="B96" s="23" t="str">
        <x:v>2026-04-27</x:v>
      </x:c>
      <x:c r="C96" s="23" t="str">
        <x:v>2026-04</x:v>
      </x:c>
      <x:c r="D96" s="23" t="str">
        <x:v>SKU002</x:v>
      </x:c>
      <x:c r="E96" s="23" t="str">
        <x:v>Electronics</x:v>
      </x:c>
      <x:c r="F96" s="23" t="n">
        <x:v>109</x:v>
      </x:c>
      <x:c r="G96" s="23" t="n">
        <x:v>40</x:v>
      </x:c>
      <x:c r="H96" s="23" t="n">
        <x:v>32</x:v>
      </x:c>
      <x:c r="I96" s="23" t="n">
        <x:v>32</x:v>
      </x:c>
      <x:c r="J96" s="23" t="n">
        <x:v>331549.66</x:v>
      </x:c>
      <x:c r="K96" s="23" t="n">
        <x:v>0</x:v>
      </x:c>
      <x:c r="L96" s="23" t="n">
        <x:v>0</x:v>
      </x:c>
    </x:row>
    <x:row r="97">
      <x:c r="A97" s="23" t="n">
        <x:v>96</x:v>
      </x:c>
      <x:c r="B97" s="23" t="str">
        <x:v>2026-05-04</x:v>
      </x:c>
      <x:c r="C97" s="23" t="str">
        <x:v>2026-05</x:v>
      </x:c>
      <x:c r="D97" s="23" t="str">
        <x:v>SKU002</x:v>
      </x:c>
      <x:c r="E97" s="23" t="str">
        <x:v>Electronics</x:v>
      </x:c>
      <x:c r="F97" s="23" t="n">
        <x:v>54</x:v>
      </x:c>
      <x:c r="G97" s="23" t="n">
        <x:v>40</x:v>
      </x:c>
      <x:c r="H97" s="23" t="n">
        <x:v>55</x:v>
      </x:c>
      <x:c r="I97" s="23" t="n">
        <x:v>55</x:v>
      </x:c>
      <x:c r="J97" s="23" t="n">
        <x:v>164253.96</x:v>
      </x:c>
      <x:c r="K97" s="23" t="n">
        <x:v>0</x:v>
      </x:c>
      <x:c r="L97" s="23" t="n">
        <x:v>0</x:v>
      </x:c>
    </x:row>
    <x:row r="98">
      <x:c r="A98" s="23" t="n">
        <x:v>97</x:v>
      </x:c>
      <x:c r="B98" s="23" t="str">
        <x:v>2026-05-11</x:v>
      </x:c>
      <x:c r="C98" s="23" t="str">
        <x:v>2026-05</x:v>
      </x:c>
      <x:c r="D98" s="23" t="str">
        <x:v>SKU002</x:v>
      </x:c>
      <x:c r="E98" s="23" t="str">
        <x:v>Electronics</x:v>
      </x:c>
      <x:c r="F98" s="23" t="n">
        <x:v>0</x:v>
      </x:c>
      <x:c r="G98" s="23" t="n">
        <x:v>40</x:v>
      </x:c>
      <x:c r="H98" s="23" t="n">
        <x:v>97</x:v>
      </x:c>
      <x:c r="I98" s="23" t="n">
        <x:v>54</x:v>
      </x:c>
      <x:c r="J98" s="23" t="n">
        <x:v>0</x:v>
      </x:c>
      <x:c r="K98" s="23" t="n">
        <x:v>1</x:v>
      </x:c>
      <x:c r="L98" s="23" t="n">
        <x:v>1</x:v>
      </x:c>
    </x:row>
    <x:row r="99">
      <x:c r="A99" s="23" t="n">
        <x:v>98</x:v>
      </x:c>
      <x:c r="B99" s="23" t="str">
        <x:v>2026-05-18</x:v>
      </x:c>
      <x:c r="C99" s="23" t="str">
        <x:v>2026-05</x:v>
      </x:c>
      <x:c r="D99" s="23" t="str">
        <x:v>SKU002</x:v>
      </x:c>
      <x:c r="E99" s="23" t="str">
        <x:v>Electronics</x:v>
      </x:c>
      <x:c r="F99" s="23" t="n">
        <x:v>77</x:v>
      </x:c>
      <x:c r="G99" s="23" t="n">
        <x:v>40</x:v>
      </x:c>
      <x:c r="H99" s="23" t="n">
        <x:v>47</x:v>
      </x:c>
      <x:c r="I99" s="23" t="n">
        <x:v>47</x:v>
      </x:c>
      <x:c r="J99" s="23" t="n">
        <x:v>234213.98</x:v>
      </x:c>
      <x:c r="K99" s="23" t="n">
        <x:v>0</x:v>
      </x:c>
      <x:c r="L99" s="23" t="n">
        <x:v>0</x:v>
      </x:c>
    </x:row>
    <x:row r="100">
      <x:c r="A100" s="23" t="n">
        <x:v>99</x:v>
      </x:c>
      <x:c r="B100" s="23" t="str">
        <x:v>2026-05-25</x:v>
      </x:c>
      <x:c r="C100" s="23" t="str">
        <x:v>2026-05</x:v>
      </x:c>
      <x:c r="D100" s="23" t="str">
        <x:v>SKU002</x:v>
      </x:c>
      <x:c r="E100" s="23" t="str">
        <x:v>Electronics</x:v>
      </x:c>
      <x:c r="F100" s="23" t="n">
        <x:v>1</x:v>
      </x:c>
      <x:c r="G100" s="23" t="n">
        <x:v>40</x:v>
      </x:c>
      <x:c r="H100" s="23" t="n">
        <x:v>76</x:v>
      </x:c>
      <x:c r="I100" s="23" t="n">
        <x:v>76</x:v>
      </x:c>
      <x:c r="J100" s="23" t="n">
        <x:v>3041.74</x:v>
      </x:c>
      <x:c r="K100" s="23" t="n">
        <x:v>1</x:v>
      </x:c>
      <x:c r="L100" s="23" t="n">
        <x:v>0</x:v>
      </x:c>
    </x:row>
    <x:row r="101">
      <x:c r="A101" s="23" t="n">
        <x:v>100</x:v>
      </x:c>
      <x:c r="B101" s="23" t="str">
        <x:v>2026-06-01</x:v>
      </x:c>
      <x:c r="C101" s="23" t="str">
        <x:v>2026-06</x:v>
      </x:c>
      <x:c r="D101" s="23" t="str">
        <x:v>SKU002</x:v>
      </x:c>
      <x:c r="E101" s="23" t="str">
        <x:v>Electronics</x:v>
      </x:c>
      <x:c r="F101" s="23" t="n">
        <x:v>0</x:v>
      </x:c>
      <x:c r="G101" s="23" t="n">
        <x:v>40</x:v>
      </x:c>
      <x:c r="H101" s="23" t="n">
        <x:v>38</x:v>
      </x:c>
      <x:c r="I101" s="23" t="n">
        <x:v>1</x:v>
      </x:c>
      <x:c r="J101" s="23" t="n">
        <x:v>0</x:v>
      </x:c>
      <x:c r="K101" s="23" t="n">
        <x:v>1</x:v>
      </x:c>
      <x:c r="L101" s="23" t="n">
        <x:v>1</x:v>
      </x:c>
    </x:row>
    <x:row r="102">
      <x:c r="A102" s="23" t="n">
        <x:v>101</x:v>
      </x:c>
      <x:c r="B102" s="23" t="str">
        <x:v>2026-06-08</x:v>
      </x:c>
      <x:c r="C102" s="23" t="str">
        <x:v>2026-06</x:v>
      </x:c>
      <x:c r="D102" s="23" t="str">
        <x:v>SKU002</x:v>
      </x:c>
      <x:c r="E102" s="23" t="str">
        <x:v>Electronics</x:v>
      </x:c>
      <x:c r="F102" s="23" t="n">
        <x:v>0</x:v>
      </x:c>
      <x:c r="G102" s="23" t="n">
        <x:v>40</x:v>
      </x:c>
      <x:c r="H102" s="23" t="n">
        <x:v>103</x:v>
      </x:c>
      <x:c r="I102" s="23" t="n">
        <x:v>75</x:v>
      </x:c>
      <x:c r="J102" s="23" t="n">
        <x:v>0</x:v>
      </x:c>
      <x:c r="K102" s="23" t="n">
        <x:v>1</x:v>
      </x:c>
      <x:c r="L102" s="23" t="n">
        <x:v>1</x:v>
      </x:c>
    </x:row>
    <x:row r="103">
      <x:c r="A103" s="23" t="n">
        <x:v>102</x:v>
      </x:c>
      <x:c r="B103" s="23" t="str">
        <x:v>2026-06-15</x:v>
      </x:c>
      <x:c r="C103" s="23" t="str">
        <x:v>2026-06</x:v>
      </x:c>
      <x:c r="D103" s="23" t="str">
        <x:v>SKU002</x:v>
      </x:c>
      <x:c r="E103" s="23" t="str">
        <x:v>Electronics</x:v>
      </x:c>
      <x:c r="F103" s="23" t="n">
        <x:v>0</x:v>
      </x:c>
      <x:c r="G103" s="23" t="n">
        <x:v>40</x:v>
      </x:c>
      <x:c r="H103" s="23" t="n">
        <x:v>70</x:v>
      </x:c>
      <x:c r="I103" s="23" t="n">
        <x:v>0</x:v>
      </x:c>
      <x:c r="J103" s="23" t="n">
        <x:v>0</x:v>
      </x:c>
      <x:c r="K103" s="23" t="n">
        <x:v>1</x:v>
      </x:c>
      <x:c r="L103" s="23" t="n">
        <x:v>1</x:v>
      </x:c>
    </x:row>
    <x:row r="104">
      <x:c r="A104" s="23" t="n">
        <x:v>103</x:v>
      </x:c>
      <x:c r="B104" s="23" t="str">
        <x:v>2026-06-22</x:v>
      </x:c>
      <x:c r="C104" s="23" t="str">
        <x:v>2026-06</x:v>
      </x:c>
      <x:c r="D104" s="23" t="str">
        <x:v>SKU002</x:v>
      </x:c>
      <x:c r="E104" s="23" t="str">
        <x:v>Electronics</x:v>
      </x:c>
      <x:c r="F104" s="23" t="n">
        <x:v>42</x:v>
      </x:c>
      <x:c r="G104" s="23" t="n">
        <x:v>40</x:v>
      </x:c>
      <x:c r="H104" s="23" t="n">
        <x:v>49</x:v>
      </x:c>
      <x:c r="I104" s="23" t="n">
        <x:v>49</x:v>
      </x:c>
      <x:c r="J104" s="23" t="n">
        <x:v>127753.08</x:v>
      </x:c>
      <x:c r="K104" s="23" t="n">
        <x:v>0</x:v>
      </x:c>
      <x:c r="L104" s="23" t="n">
        <x:v>0</x:v>
      </x:c>
    </x:row>
    <x:row r="105">
      <x:c r="A105" s="23" t="n">
        <x:v>104</x:v>
      </x:c>
      <x:c r="B105" s="23" t="str">
        <x:v>2026-06-29</x:v>
      </x:c>
      <x:c r="C105" s="23" t="str">
        <x:v>2026-06</x:v>
      </x:c>
      <x:c r="D105" s="23" t="str">
        <x:v>SKU002</x:v>
      </x:c>
      <x:c r="E105" s="23" t="str">
        <x:v>Electronics</x:v>
      </x:c>
      <x:c r="F105" s="23" t="n">
        <x:v>36</x:v>
      </x:c>
      <x:c r="G105" s="23" t="n">
        <x:v>40</x:v>
      </x:c>
      <x:c r="H105" s="23" t="n">
        <x:v>98</x:v>
      </x:c>
      <x:c r="I105" s="23" t="n">
        <x:v>98</x:v>
      </x:c>
      <x:c r="J105" s="23" t="n">
        <x:v>109502.64</x:v>
      </x:c>
      <x:c r="K105" s="23" t="n">
        <x:v>1</x:v>
      </x:c>
      <x:c r="L105" s="23" t="n">
        <x:v>0</x:v>
      </x:c>
    </x:row>
    <x:row r="106">
      <x:c r="A106" s="23" t="n">
        <x:v>105</x:v>
      </x:c>
      <x:c r="B106" s="23" t="str">
        <x:v>2025-07-07</x:v>
      </x:c>
      <x:c r="C106" s="23" t="str">
        <x:v>2025-07</x:v>
      </x:c>
      <x:c r="D106" s="23" t="str">
        <x:v>SKU003</x:v>
      </x:c>
      <x:c r="E106" s="23" t="str">
        <x:v>Packaging</x:v>
      </x:c>
      <x:c r="F106" s="23" t="n">
        <x:v>150</x:v>
      </x:c>
      <x:c r="G106" s="23" t="n">
        <x:v>80</x:v>
      </x:c>
      <x:c r="H106" s="23" t="n">
        <x:v>61</x:v>
      </x:c>
      <x:c r="I106" s="23" t="n">
        <x:v>61</x:v>
      </x:c>
      <x:c r="J106" s="23" t="n">
        <x:v>603400.5</x:v>
      </x:c>
      <x:c r="K106" s="23" t="n">
        <x:v>0</x:v>
      </x:c>
      <x:c r="L106" s="23" t="n">
        <x:v>0</x:v>
      </x:c>
    </x:row>
    <x:row r="107">
      <x:c r="A107" s="23" t="n">
        <x:v>106</x:v>
      </x:c>
      <x:c r="B107" s="23" t="str">
        <x:v>2025-07-14</x:v>
      </x:c>
      <x:c r="C107" s="23" t="str">
        <x:v>2025-07</x:v>
      </x:c>
      <x:c r="D107" s="23" t="str">
        <x:v>SKU003</x:v>
      </x:c>
      <x:c r="E107" s="23" t="str">
        <x:v>Packaging</x:v>
      </x:c>
      <x:c r="F107" s="23" t="n">
        <x:v>195</x:v>
      </x:c>
      <x:c r="G107" s="23" t="n">
        <x:v>80</x:v>
      </x:c>
      <x:c r="H107" s="23" t="n">
        <x:v>42</x:v>
      </x:c>
      <x:c r="I107" s="23" t="n">
        <x:v>42</x:v>
      </x:c>
      <x:c r="J107" s="23" t="n">
        <x:v>784420.65</x:v>
      </x:c>
      <x:c r="K107" s="23" t="n">
        <x:v>0</x:v>
      </x:c>
      <x:c r="L107" s="23" t="n">
        <x:v>0</x:v>
      </x:c>
    </x:row>
    <x:row r="108">
      <x:c r="A108" s="23" t="n">
        <x:v>107</x:v>
      </x:c>
      <x:c r="B108" s="23" t="str">
        <x:v>2025-07-21</x:v>
      </x:c>
      <x:c r="C108" s="23" t="str">
        <x:v>2025-07</x:v>
      </x:c>
      <x:c r="D108" s="23" t="str">
        <x:v>SKU003</x:v>
      </x:c>
      <x:c r="E108" s="23" t="str">
        <x:v>Packaging</x:v>
      </x:c>
      <x:c r="F108" s="23" t="n">
        <x:v>239</x:v>
      </x:c>
      <x:c r="G108" s="23" t="n">
        <x:v>80</x:v>
      </x:c>
      <x:c r="H108" s="23" t="n">
        <x:v>58</x:v>
      </x:c>
      <x:c r="I108" s="23" t="n">
        <x:v>58</x:v>
      </x:c>
      <x:c r="J108" s="23" t="n">
        <x:v>961418.13</x:v>
      </x:c>
      <x:c r="K108" s="23" t="n">
        <x:v>0</x:v>
      </x:c>
      <x:c r="L108" s="23" t="n">
        <x:v>0</x:v>
      </x:c>
    </x:row>
    <x:row r="109">
      <x:c r="A109" s="23" t="n">
        <x:v>108</x:v>
      </x:c>
      <x:c r="B109" s="23" t="str">
        <x:v>2025-07-28</x:v>
      </x:c>
      <x:c r="C109" s="23" t="str">
        <x:v>2025-07</x:v>
      </x:c>
      <x:c r="D109" s="23" t="str">
        <x:v>SKU003</x:v>
      </x:c>
      <x:c r="E109" s="23" t="str">
        <x:v>Packaging</x:v>
      </x:c>
      <x:c r="F109" s="23" t="n">
        <x:v>203</x:v>
      </x:c>
      <x:c r="G109" s="23" t="n">
        <x:v>80</x:v>
      </x:c>
      <x:c r="H109" s="23" t="n">
        <x:v>36</x:v>
      </x:c>
      <x:c r="I109" s="23" t="n">
        <x:v>36</x:v>
      </x:c>
      <x:c r="J109" s="23" t="n">
        <x:v>816602.01</x:v>
      </x:c>
      <x:c r="K109" s="23" t="n">
        <x:v>0</x:v>
      </x:c>
      <x:c r="L109" s="23" t="n">
        <x:v>0</x:v>
      </x:c>
    </x:row>
    <x:row r="110">
      <x:c r="A110" s="23" t="n">
        <x:v>109</x:v>
      </x:c>
      <x:c r="B110" s="23" t="str">
        <x:v>2025-08-04</x:v>
      </x:c>
      <x:c r="C110" s="23" t="str">
        <x:v>2025-08</x:v>
      </x:c>
      <x:c r="D110" s="23" t="str">
        <x:v>SKU003</x:v>
      </x:c>
      <x:c r="E110" s="23" t="str">
        <x:v>Packaging</x:v>
      </x:c>
      <x:c r="F110" s="23" t="n">
        <x:v>239</x:v>
      </x:c>
      <x:c r="G110" s="23" t="n">
        <x:v>80</x:v>
      </x:c>
      <x:c r="H110" s="23" t="n">
        <x:v>36</x:v>
      </x:c>
      <x:c r="I110" s="23" t="n">
        <x:v>36</x:v>
      </x:c>
      <x:c r="J110" s="23" t="n">
        <x:v>961418.13</x:v>
      </x:c>
      <x:c r="K110" s="23" t="n">
        <x:v>0</x:v>
      </x:c>
      <x:c r="L110" s="23" t="n">
        <x:v>0</x:v>
      </x:c>
    </x:row>
    <x:row r="111">
      <x:c r="A111" s="23" t="n">
        <x:v>110</x:v>
      </x:c>
      <x:c r="B111" s="23" t="str">
        <x:v>2025-08-11</x:v>
      </x:c>
      <x:c r="C111" s="23" t="str">
        <x:v>2025-08</x:v>
      </x:c>
      <x:c r="D111" s="23" t="str">
        <x:v>SKU003</x:v>
      </x:c>
      <x:c r="E111" s="23" t="str">
        <x:v>Packaging</x:v>
      </x:c>
      <x:c r="F111" s="23" t="n">
        <x:v>212</x:v>
      </x:c>
      <x:c r="G111" s="23" t="n">
        <x:v>80</x:v>
      </x:c>
      <x:c r="H111" s="23" t="n">
        <x:v>27</x:v>
      </x:c>
      <x:c r="I111" s="23" t="n">
        <x:v>27</x:v>
      </x:c>
      <x:c r="J111" s="23" t="n">
        <x:v>852806.04</x:v>
      </x:c>
      <x:c r="K111" s="23" t="n">
        <x:v>0</x:v>
      </x:c>
      <x:c r="L111" s="23" t="n">
        <x:v>0</x:v>
      </x:c>
    </x:row>
    <x:row r="112">
      <x:c r="A112" s="23" t="n">
        <x:v>111</x:v>
      </x:c>
      <x:c r="B112" s="23" t="str">
        <x:v>2025-08-18</x:v>
      </x:c>
      <x:c r="C112" s="23" t="str">
        <x:v>2025-08</x:v>
      </x:c>
      <x:c r="D112" s="23" t="str">
        <x:v>SKU003</x:v>
      </x:c>
      <x:c r="E112" s="23" t="str">
        <x:v>Packaging</x:v>
      </x:c>
      <x:c r="F112" s="23" t="n">
        <x:v>256</x:v>
      </x:c>
      <x:c r="G112" s="23" t="n">
        <x:v>80</x:v>
      </x:c>
      <x:c r="H112" s="23" t="n">
        <x:v>20</x:v>
      </x:c>
      <x:c r="I112" s="23" t="n">
        <x:v>20</x:v>
      </x:c>
      <x:c r="J112" s="23" t="n">
        <x:v>1029803.52</x:v>
      </x:c>
      <x:c r="K112" s="23" t="n">
        <x:v>0</x:v>
      </x:c>
      <x:c r="L112" s="23" t="n">
        <x:v>0</x:v>
      </x:c>
    </x:row>
    <x:row r="113">
      <x:c r="A113" s="23" t="n">
        <x:v>112</x:v>
      </x:c>
      <x:c r="B113" s="23" t="str">
        <x:v>2025-08-25</x:v>
      </x:c>
      <x:c r="C113" s="23" t="str">
        <x:v>2025-08</x:v>
      </x:c>
      <x:c r="D113" s="23" t="str">
        <x:v>SKU003</x:v>
      </x:c>
      <x:c r="E113" s="23" t="str">
        <x:v>Packaging</x:v>
      </x:c>
      <x:c r="F113" s="23" t="n">
        <x:v>166</x:v>
      </x:c>
      <x:c r="G113" s="23" t="n">
        <x:v>80</x:v>
      </x:c>
      <x:c r="H113" s="23" t="n">
        <x:v>90</x:v>
      </x:c>
      <x:c r="I113" s="23" t="n">
        <x:v>90</x:v>
      </x:c>
      <x:c r="J113" s="23" t="n">
        <x:v>667763.22</x:v>
      </x:c>
      <x:c r="K113" s="23" t="n">
        <x:v>0</x:v>
      </x:c>
      <x:c r="L113" s="23" t="n">
        <x:v>0</x:v>
      </x:c>
    </x:row>
    <x:row r="114">
      <x:c r="A114" s="23" t="n">
        <x:v>113</x:v>
      </x:c>
      <x:c r="B114" s="23" t="str">
        <x:v>2025-09-01</x:v>
      </x:c>
      <x:c r="C114" s="23" t="str">
        <x:v>2025-09</x:v>
      </x:c>
      <x:c r="D114" s="23" t="str">
        <x:v>SKU003</x:v>
      </x:c>
      <x:c r="E114" s="23" t="str">
        <x:v>Packaging</x:v>
      </x:c>
      <x:c r="F114" s="23" t="n">
        <x:v>121</x:v>
      </x:c>
      <x:c r="G114" s="23" t="n">
        <x:v>80</x:v>
      </x:c>
      <x:c r="H114" s="23" t="n">
        <x:v>45</x:v>
      </x:c>
      <x:c r="I114" s="23" t="n">
        <x:v>45</x:v>
      </x:c>
      <x:c r="J114" s="23" t="n">
        <x:v>486743.07</x:v>
      </x:c>
      <x:c r="K114" s="23" t="n">
        <x:v>0</x:v>
      </x:c>
      <x:c r="L114" s="23" t="n">
        <x:v>0</x:v>
      </x:c>
    </x:row>
    <x:row r="115">
      <x:c r="A115" s="23" t="n">
        <x:v>114</x:v>
      </x:c>
      <x:c r="B115" s="23" t="str">
        <x:v>2025-09-08</x:v>
      </x:c>
      <x:c r="C115" s="23" t="str">
        <x:v>2025-09</x:v>
      </x:c>
      <x:c r="D115" s="23" t="str">
        <x:v>SKU003</x:v>
      </x:c>
      <x:c r="E115" s="23" t="str">
        <x:v>Packaging</x:v>
      </x:c>
      <x:c r="F115" s="23" t="n">
        <x:v>101</x:v>
      </x:c>
      <x:c r="G115" s="23" t="n">
        <x:v>80</x:v>
      </x:c>
      <x:c r="H115" s="23" t="n">
        <x:v>79</x:v>
      </x:c>
      <x:c r="I115" s="23" t="n">
        <x:v>79</x:v>
      </x:c>
      <x:c r="J115" s="23" t="n">
        <x:v>406289.67</x:v>
      </x:c>
      <x:c r="K115" s="23" t="n">
        <x:v>0</x:v>
      </x:c>
      <x:c r="L115" s="23" t="n">
        <x:v>0</x:v>
      </x:c>
    </x:row>
    <x:row r="116">
      <x:c r="A116" s="23" t="n">
        <x:v>115</x:v>
      </x:c>
      <x:c r="B116" s="23" t="str">
        <x:v>2025-09-15</x:v>
      </x:c>
      <x:c r="C116" s="23" t="str">
        <x:v>2025-09</x:v>
      </x:c>
      <x:c r="D116" s="23" t="str">
        <x:v>SKU003</x:v>
      </x:c>
      <x:c r="E116" s="23" t="str">
        <x:v>Packaging</x:v>
      </x:c>
      <x:c r="F116" s="23" t="n">
        <x:v>6</x:v>
      </x:c>
      <x:c r="G116" s="23" t="n">
        <x:v>80</x:v>
      </x:c>
      <x:c r="H116" s="23" t="n">
        <x:v>95</x:v>
      </x:c>
      <x:c r="I116" s="23" t="n">
        <x:v>95</x:v>
      </x:c>
      <x:c r="J116" s="23" t="n">
        <x:v>24136.02</x:v>
      </x:c>
      <x:c r="K116" s="23" t="n">
        <x:v>1</x:v>
      </x:c>
      <x:c r="L116" s="23" t="n">
        <x:v>0</x:v>
      </x:c>
    </x:row>
    <x:row r="117">
      <x:c r="A117" s="23" t="n">
        <x:v>116</x:v>
      </x:c>
      <x:c r="B117" s="23" t="str">
        <x:v>2025-09-22</x:v>
      </x:c>
      <x:c r="C117" s="23" t="str">
        <x:v>2025-09</x:v>
      </x:c>
      <x:c r="D117" s="23" t="str">
        <x:v>SKU003</x:v>
      </x:c>
      <x:c r="E117" s="23" t="str">
        <x:v>Packaging</x:v>
      </x:c>
      <x:c r="F117" s="23" t="n">
        <x:v>101</x:v>
      </x:c>
      <x:c r="G117" s="23" t="n">
        <x:v>80</x:v>
      </x:c>
      <x:c r="H117" s="23" t="n">
        <x:v>30</x:v>
      </x:c>
      <x:c r="I117" s="23" t="n">
        <x:v>30</x:v>
      </x:c>
      <x:c r="J117" s="23" t="n">
        <x:v>406289.67</x:v>
      </x:c>
      <x:c r="K117" s="23" t="n">
        <x:v>0</x:v>
      </x:c>
      <x:c r="L117" s="23" t="n">
        <x:v>0</x:v>
      </x:c>
    </x:row>
    <x:row r="118">
      <x:c r="A118" s="23" t="n">
        <x:v>117</x:v>
      </x:c>
      <x:c r="B118" s="23" t="str">
        <x:v>2025-09-29</x:v>
      </x:c>
      <x:c r="C118" s="23" t="str">
        <x:v>2025-09</x:v>
      </x:c>
      <x:c r="D118" s="23" t="str">
        <x:v>SKU003</x:v>
      </x:c>
      <x:c r="E118" s="23" t="str">
        <x:v>Packaging</x:v>
      </x:c>
      <x:c r="F118" s="23" t="n">
        <x:v>190</x:v>
      </x:c>
      <x:c r="G118" s="23" t="n">
        <x:v>80</x:v>
      </x:c>
      <x:c r="H118" s="23" t="n">
        <x:v>76</x:v>
      </x:c>
      <x:c r="I118" s="23" t="n">
        <x:v>76</x:v>
      </x:c>
      <x:c r="J118" s="23" t="n">
        <x:v>764307.3</x:v>
      </x:c>
      <x:c r="K118" s="23" t="n">
        <x:v>0</x:v>
      </x:c>
      <x:c r="L118" s="23" t="n">
        <x:v>0</x:v>
      </x:c>
    </x:row>
    <x:row r="119">
      <x:c r="A119" s="23" t="n">
        <x:v>118</x:v>
      </x:c>
      <x:c r="B119" s="23" t="str">
        <x:v>2025-10-06</x:v>
      </x:c>
      <x:c r="C119" s="23" t="str">
        <x:v>2025-10</x:v>
      </x:c>
      <x:c r="D119" s="23" t="str">
        <x:v>SKU003</x:v>
      </x:c>
      <x:c r="E119" s="23" t="str">
        <x:v>Packaging</x:v>
      </x:c>
      <x:c r="F119" s="23" t="n">
        <x:v>86</x:v>
      </x:c>
      <x:c r="G119" s="23" t="n">
        <x:v>80</x:v>
      </x:c>
      <x:c r="H119" s="23" t="n">
        <x:v>104</x:v>
      </x:c>
      <x:c r="I119" s="23" t="n">
        <x:v>104</x:v>
      </x:c>
      <x:c r="J119" s="23" t="n">
        <x:v>345949.62</x:v>
      </x:c>
      <x:c r="K119" s="23" t="n">
        <x:v>0</x:v>
      </x:c>
      <x:c r="L119" s="23" t="n">
        <x:v>0</x:v>
      </x:c>
    </x:row>
    <x:row r="120">
      <x:c r="A120" s="23" t="n">
        <x:v>119</x:v>
      </x:c>
      <x:c r="B120" s="23" t="str">
        <x:v>2025-10-13</x:v>
      </x:c>
      <x:c r="C120" s="23" t="str">
        <x:v>2025-10</x:v>
      </x:c>
      <x:c r="D120" s="23" t="str">
        <x:v>SKU003</x:v>
      </x:c>
      <x:c r="E120" s="23" t="str">
        <x:v>Packaging</x:v>
      </x:c>
      <x:c r="F120" s="23" t="n">
        <x:v>61</x:v>
      </x:c>
      <x:c r="G120" s="23" t="n">
        <x:v>80</x:v>
      </x:c>
      <x:c r="H120" s="23" t="n">
        <x:v>25</x:v>
      </x:c>
      <x:c r="I120" s="23" t="n">
        <x:v>25</x:v>
      </x:c>
      <x:c r="J120" s="23" t="n">
        <x:v>245382.87</x:v>
      </x:c>
      <x:c r="K120" s="23" t="n">
        <x:v>1</x:v>
      </x:c>
      <x:c r="L120" s="23" t="n">
        <x:v>0</x:v>
      </x:c>
    </x:row>
    <x:row r="121">
      <x:c r="A121" s="23" t="n">
        <x:v>120</x:v>
      </x:c>
      <x:c r="B121" s="23" t="str">
        <x:v>2025-10-20</x:v>
      </x:c>
      <x:c r="C121" s="23" t="str">
        <x:v>2025-10</x:v>
      </x:c>
      <x:c r="D121" s="23" t="str">
        <x:v>SKU003</x:v>
      </x:c>
      <x:c r="E121" s="23" t="str">
        <x:v>Packaging</x:v>
      </x:c>
      <x:c r="F121" s="23" t="n">
        <x:v>118</x:v>
      </x:c>
      <x:c r="G121" s="23" t="n">
        <x:v>80</x:v>
      </x:c>
      <x:c r="H121" s="23" t="n">
        <x:v>96</x:v>
      </x:c>
      <x:c r="I121" s="23" t="n">
        <x:v>96</x:v>
      </x:c>
      <x:c r="J121" s="23" t="n">
        <x:v>474675.06</x:v>
      </x:c>
      <x:c r="K121" s="23" t="n">
        <x:v>0</x:v>
      </x:c>
      <x:c r="L121" s="23" t="n">
        <x:v>0</x:v>
      </x:c>
    </x:row>
    <x:row r="122">
      <x:c r="A122" s="23" t="n">
        <x:v>121</x:v>
      </x:c>
      <x:c r="B122" s="23" t="str">
        <x:v>2025-10-27</x:v>
      </x:c>
      <x:c r="C122" s="23" t="str">
        <x:v>2025-10</x:v>
      </x:c>
      <x:c r="D122" s="23" t="str">
        <x:v>SKU003</x:v>
      </x:c>
      <x:c r="E122" s="23" t="str">
        <x:v>Packaging</x:v>
      </x:c>
      <x:c r="F122" s="23" t="n">
        <x:v>185</x:v>
      </x:c>
      <x:c r="G122" s="23" t="n">
        <x:v>80</x:v>
      </x:c>
      <x:c r="H122" s="23" t="n">
        <x:v>41</x:v>
      </x:c>
      <x:c r="I122" s="23" t="n">
        <x:v>41</x:v>
      </x:c>
      <x:c r="J122" s="23" t="n">
        <x:v>744193.95</x:v>
      </x:c>
      <x:c r="K122" s="23" t="n">
        <x:v>0</x:v>
      </x:c>
      <x:c r="L122" s="23" t="n">
        <x:v>0</x:v>
      </x:c>
    </x:row>
    <x:row r="123">
      <x:c r="A123" s="23" t="n">
        <x:v>122</x:v>
      </x:c>
      <x:c r="B123" s="23" t="str">
        <x:v>2025-11-03</x:v>
      </x:c>
      <x:c r="C123" s="23" t="str">
        <x:v>2025-11</x:v>
      </x:c>
      <x:c r="D123" s="23" t="str">
        <x:v>SKU003</x:v>
      </x:c>
      <x:c r="E123" s="23" t="str">
        <x:v>Packaging</x:v>
      </x:c>
      <x:c r="F123" s="23" t="n">
        <x:v>85</x:v>
      </x:c>
      <x:c r="G123" s="23" t="n">
        <x:v>80</x:v>
      </x:c>
      <x:c r="H123" s="23" t="n">
        <x:v>100</x:v>
      </x:c>
      <x:c r="I123" s="23" t="n">
        <x:v>100</x:v>
      </x:c>
      <x:c r="J123" s="23" t="n">
        <x:v>341926.95</x:v>
      </x:c>
      <x:c r="K123" s="23" t="n">
        <x:v>0</x:v>
      </x:c>
      <x:c r="L123" s="23" t="n">
        <x:v>0</x:v>
      </x:c>
    </x:row>
    <x:row r="124">
      <x:c r="A124" s="23" t="n">
        <x:v>123</x:v>
      </x:c>
      <x:c r="B124" s="23" t="str">
        <x:v>2025-11-10</x:v>
      </x:c>
      <x:c r="C124" s="23" t="str">
        <x:v>2025-11</x:v>
      </x:c>
      <x:c r="D124" s="23" t="str">
        <x:v>SKU003</x:v>
      </x:c>
      <x:c r="E124" s="23" t="str">
        <x:v>Packaging</x:v>
      </x:c>
      <x:c r="F124" s="23" t="n">
        <x:v>25</x:v>
      </x:c>
      <x:c r="G124" s="23" t="n">
        <x:v>80</x:v>
      </x:c>
      <x:c r="H124" s="23" t="n">
        <x:v>60</x:v>
      </x:c>
      <x:c r="I124" s="23" t="n">
        <x:v>60</x:v>
      </x:c>
      <x:c r="J124" s="23" t="n">
        <x:v>100566.75</x:v>
      </x:c>
      <x:c r="K124" s="23" t="n">
        <x:v>1</x:v>
      </x:c>
      <x:c r="L124" s="23" t="n">
        <x:v>0</x:v>
      </x:c>
    </x:row>
    <x:row r="125">
      <x:c r="A125" s="23" t="n">
        <x:v>124</x:v>
      </x:c>
      <x:c r="B125" s="23" t="str">
        <x:v>2025-11-17</x:v>
      </x:c>
      <x:c r="C125" s="23" t="str">
        <x:v>2025-11</x:v>
      </x:c>
      <x:c r="D125" s="23" t="str">
        <x:v>SKU003</x:v>
      </x:c>
      <x:c r="E125" s="23" t="str">
        <x:v>Packaging</x:v>
      </x:c>
      <x:c r="F125" s="23" t="n">
        <x:v>0</x:v>
      </x:c>
      <x:c r="G125" s="23" t="n">
        <x:v>80</x:v>
      </x:c>
      <x:c r="H125" s="23" t="n">
        <x:v>59</x:v>
      </x:c>
      <x:c r="I125" s="23" t="n">
        <x:v>25</x:v>
      </x:c>
      <x:c r="J125" s="23" t="n">
        <x:v>0</x:v>
      </x:c>
      <x:c r="K125" s="23" t="n">
        <x:v>1</x:v>
      </x:c>
      <x:c r="L125" s="23" t="n">
        <x:v>1</x:v>
      </x:c>
    </x:row>
    <x:row r="126">
      <x:c r="A126" s="23" t="n">
        <x:v>125</x:v>
      </x:c>
      <x:c r="B126" s="23" t="str">
        <x:v>2025-11-24</x:v>
      </x:c>
      <x:c r="C126" s="23" t="str">
        <x:v>2025-11</x:v>
      </x:c>
      <x:c r="D126" s="23" t="str">
        <x:v>SKU003</x:v>
      </x:c>
      <x:c r="E126" s="23" t="str">
        <x:v>Packaging</x:v>
      </x:c>
      <x:c r="F126" s="23" t="n">
        <x:v>0</x:v>
      </x:c>
      <x:c r="G126" s="23" t="n">
        <x:v>80</x:v>
      </x:c>
      <x:c r="H126" s="23" t="n">
        <x:v>63</x:v>
      </x:c>
      <x:c r="I126" s="23" t="n">
        <x:v>0</x:v>
      </x:c>
      <x:c r="J126" s="23" t="n">
        <x:v>0</x:v>
      </x:c>
      <x:c r="K126" s="23" t="n">
        <x:v>1</x:v>
      </x:c>
      <x:c r="L126" s="23" t="n">
        <x:v>1</x:v>
      </x:c>
    </x:row>
    <x:row r="127">
      <x:c r="A127" s="23" t="n">
        <x:v>126</x:v>
      </x:c>
      <x:c r="B127" s="23" t="str">
        <x:v>2025-12-01</x:v>
      </x:c>
      <x:c r="C127" s="23" t="str">
        <x:v>2025-12</x:v>
      </x:c>
      <x:c r="D127" s="23" t="str">
        <x:v>SKU003</x:v>
      </x:c>
      <x:c r="E127" s="23" t="str">
        <x:v>Packaging</x:v>
      </x:c>
      <x:c r="F127" s="23" t="n">
        <x:v>0</x:v>
      </x:c>
      <x:c r="G127" s="23" t="n">
        <x:v>80</x:v>
      </x:c>
      <x:c r="H127" s="23" t="n">
        <x:v>59</x:v>
      </x:c>
      <x:c r="I127" s="23" t="n">
        <x:v>0</x:v>
      </x:c>
      <x:c r="J127" s="23" t="n">
        <x:v>0</x:v>
      </x:c>
      <x:c r="K127" s="23" t="n">
        <x:v>1</x:v>
      </x:c>
      <x:c r="L127" s="23" t="n">
        <x:v>1</x:v>
      </x:c>
    </x:row>
    <x:row r="128">
      <x:c r="A128" s="23" t="n">
        <x:v>127</x:v>
      </x:c>
      <x:c r="B128" s="23" t="str">
        <x:v>2025-12-08</x:v>
      </x:c>
      <x:c r="C128" s="23" t="str">
        <x:v>2025-12</x:v>
      </x:c>
      <x:c r="D128" s="23" t="str">
        <x:v>SKU003</x:v>
      </x:c>
      <x:c r="E128" s="23" t="str">
        <x:v>Packaging</x:v>
      </x:c>
      <x:c r="F128" s="23" t="n">
        <x:v>0</x:v>
      </x:c>
      <x:c r="G128" s="23" t="n">
        <x:v>80</x:v>
      </x:c>
      <x:c r="H128" s="23" t="n">
        <x:v>38</x:v>
      </x:c>
      <x:c r="I128" s="23" t="n">
        <x:v>0</x:v>
      </x:c>
      <x:c r="J128" s="23" t="n">
        <x:v>0</x:v>
      </x:c>
      <x:c r="K128" s="23" t="n">
        <x:v>1</x:v>
      </x:c>
      <x:c r="L128" s="23" t="n">
        <x:v>1</x:v>
      </x:c>
    </x:row>
    <x:row r="129">
      <x:c r="A129" s="23" t="n">
        <x:v>128</x:v>
      </x:c>
      <x:c r="B129" s="23" t="str">
        <x:v>2025-12-15</x:v>
      </x:c>
      <x:c r="C129" s="23" t="str">
        <x:v>2025-12</x:v>
      </x:c>
      <x:c r="D129" s="23" t="str">
        <x:v>SKU003</x:v>
      </x:c>
      <x:c r="E129" s="23" t="str">
        <x:v>Packaging</x:v>
      </x:c>
      <x:c r="F129" s="23" t="n">
        <x:v>116</x:v>
      </x:c>
      <x:c r="G129" s="23" t="n">
        <x:v>80</x:v>
      </x:c>
      <x:c r="H129" s="23" t="n">
        <x:v>51</x:v>
      </x:c>
      <x:c r="I129" s="23" t="n">
        <x:v>51</x:v>
      </x:c>
      <x:c r="J129" s="23" t="n">
        <x:v>466629.72</x:v>
      </x:c>
      <x:c r="K129" s="23" t="n">
        <x:v>0</x:v>
      </x:c>
      <x:c r="L129" s="23" t="n">
        <x:v>0</x:v>
      </x:c>
    </x:row>
    <x:row r="130">
      <x:c r="A130" s="23" t="n">
        <x:v>129</x:v>
      </x:c>
      <x:c r="B130" s="23" t="str">
        <x:v>2025-12-22</x:v>
      </x:c>
      <x:c r="C130" s="23" t="str">
        <x:v>2025-12</x:v>
      </x:c>
      <x:c r="D130" s="23" t="str">
        <x:v>SKU003</x:v>
      </x:c>
      <x:c r="E130" s="23" t="str">
        <x:v>Packaging</x:v>
      </x:c>
      <x:c r="F130" s="23" t="n">
        <x:v>85</x:v>
      </x:c>
      <x:c r="G130" s="23" t="n">
        <x:v>80</x:v>
      </x:c>
      <x:c r="H130" s="23" t="n">
        <x:v>31</x:v>
      </x:c>
      <x:c r="I130" s="23" t="n">
        <x:v>31</x:v>
      </x:c>
      <x:c r="J130" s="23" t="n">
        <x:v>341926.95</x:v>
      </x:c>
      <x:c r="K130" s="23" t="n">
        <x:v>0</x:v>
      </x:c>
      <x:c r="L130" s="23" t="n">
        <x:v>0</x:v>
      </x:c>
    </x:row>
    <x:row r="131">
      <x:c r="A131" s="23" t="n">
        <x:v>130</x:v>
      </x:c>
      <x:c r="B131" s="23" t="str">
        <x:v>2025-12-29</x:v>
      </x:c>
      <x:c r="C131" s="23" t="str">
        <x:v>2025-12</x:v>
      </x:c>
      <x:c r="D131" s="23" t="str">
        <x:v>SKU003</x:v>
      </x:c>
      <x:c r="E131" s="23" t="str">
        <x:v>Packaging</x:v>
      </x:c>
      <x:c r="F131" s="23" t="n">
        <x:v>176</x:v>
      </x:c>
      <x:c r="G131" s="23" t="n">
        <x:v>80</x:v>
      </x:c>
      <x:c r="H131" s="23" t="n">
        <x:v>54</x:v>
      </x:c>
      <x:c r="I131" s="23" t="n">
        <x:v>54</x:v>
      </x:c>
      <x:c r="J131" s="23" t="n">
        <x:v>707989.92</x:v>
      </x:c>
      <x:c r="K131" s="23" t="n">
        <x:v>0</x:v>
      </x:c>
      <x:c r="L131" s="23" t="n">
        <x:v>0</x:v>
      </x:c>
    </x:row>
  </x:sheetData>
  <x:pageMargins left="0.7" right="0.7" top="0.75" bottom="0.75" header="0.3" footer="0.3"/>
</x:worksheet>
</file>